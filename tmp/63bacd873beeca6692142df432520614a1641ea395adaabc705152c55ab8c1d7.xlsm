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macrosheets/intlsheet1.xml" ContentType="application/vnd.ms-excel.intlmacrosheet+xml"/>
  <Override PartName="/xl/worksheets/sheet1.xml" ContentType="application/vnd.openxmlformats-officedocument.spreadsheetml.worksheet+xml"/>
  <Override PartName="/xl/worksheets/sheet2.xml" ContentType="application/vnd.openxmlformats-officedocument.spreadsheetml.worksheet+xml"/>
  <Override PartName="/xl/dialogsheets/sheet1.xml" ContentType="application/vnd.openxmlformats-officedocument.spreadsheetml.dialogsheet+xml"/>
  <Override PartName="/xl/dialogsheets/sheet2.xml" ContentType="application/vnd.openxmlformats-officedocument.spreadsheetml.dialog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624" codeName="{91AB8045-AFC0-B76E-F17D-A240E00664AE}"/>
  <workbookPr codeName="ThisWorkbook"/>
  <mc:AlternateContent xmlns:mc="http://schemas.openxmlformats.org/markup-compatibility/2006">
    <mc:Choice Requires="x15">
      <x15ac:absPath xmlns:x15ac="http://schemas.microsoft.com/office/spreadsheetml/2010/11/ac" url="C:\Users\tesarova\Documents\Objednávky\"/>
    </mc:Choice>
  </mc:AlternateContent>
  <xr:revisionPtr revIDLastSave="0" documentId="13_ncr:1_{3FE1752F-927D-4CB1-B173-D590F449073E}" xr6:coauthVersionLast="45" xr6:coauthVersionMax="45" xr10:uidLastSave="{00000000-0000-0000-0000-000000000000}"/>
  <bookViews>
    <workbookView xWindow="-110" yWindow="-110" windowWidth="19420" windowHeight="10420" firstSheet="1" activeTab="2" xr2:uid="{00000000-000D-0000-FFFF-FFFF00000000}"/>
  </bookViews>
  <sheets>
    <sheet name="AutoOpen Stub Data" sheetId="1" state="veryHidden" r:id="rId1"/>
    <sheet name="Úprava objednávky" sheetId="2" r:id="rId2"/>
    <sheet name="Objednávka" sheetId="3" r:id="rId3"/>
    <sheet name="Makra" sheetId="4" state="veryHidden" r:id=""/>
    <sheet name="ATW" sheetId="5" state="veryHidden" r:id="rId4"/>
    <sheet name="Zámek" sheetId="6" state="veryHidden" r:id="rId5"/>
    <sheet name="TemplateInformation" sheetId="7" state="veryHidden" r:id="rId6"/>
  </sheets>
  <functionGroups builtInGroupCount="19"/>
  <definedNames>
    <definedName name="__IntlFixupTable" hidden="1">#REF!</definedName>
    <definedName name="_SHR1">'Úprava objednávky'!$D$25</definedName>
    <definedName name="_SHR2">'Úprava objednávky'!$G$27</definedName>
    <definedName name="_xlnm.Auto_Open21">'AutoOpen Stub Data'!$A$1</definedName>
    <definedName name="boxes" localSheetId="4">Objednávka!$E$45:$E$46,Objednávka!$E$44</definedName>
    <definedName name="boxes">Objednávka!$E$45:$E$46,Objednávka!$E$44</definedName>
    <definedName name="button_area_1">#REF!</definedName>
    <definedName name="CC">'Úprava objednávky'!$H$22:$H$25</definedName>
    <definedName name="CCT">Objednávka!$J$46</definedName>
    <definedName name="CDB">'Úprava objednávky'!$F$48</definedName>
    <definedName name="celltips_area">#REF!</definedName>
    <definedName name="CS">'Úprava objednávky'!$F$49</definedName>
    <definedName name="data1">Objednávka!$E$12</definedName>
    <definedName name="data10">Objednávka!$P$14</definedName>
    <definedName name="data100">Objednávka!$E$64</definedName>
    <definedName name="data101">Objednávka!$O$56</definedName>
    <definedName name="data102">Objednávka!$M$15</definedName>
    <definedName name="data103">Objednávka!$M$17</definedName>
    <definedName name="data104">Objednávka!$M$18</definedName>
    <definedName name="data105">Objednávka!$E$15</definedName>
    <definedName name="data106">Objednávka!$E$16</definedName>
    <definedName name="data107">Objednávka!$E$17</definedName>
    <definedName name="data108">Objednávka!$E$18</definedName>
    <definedName name="data12">Objednávka!$M$16</definedName>
    <definedName name="data13">Objednávka!$D$21</definedName>
    <definedName name="data14">Objednávka!$E$21</definedName>
    <definedName name="data15">Objednávka!$F$21</definedName>
    <definedName name="data16">Objednávka!$N$21</definedName>
    <definedName name="data17">Objednávka!$D$22</definedName>
    <definedName name="data18">Objednávka!$E$22</definedName>
    <definedName name="data19">Objednávka!$F$22</definedName>
    <definedName name="data2">Objednávka!$E$13</definedName>
    <definedName name="data20">Objednávka!$N$22</definedName>
    <definedName name="data21">Objednávka!$D$23</definedName>
    <definedName name="data22">Objednávka!$E$23</definedName>
    <definedName name="data23">Objednávka!$F$23</definedName>
    <definedName name="data24">Objednávka!$N$23</definedName>
    <definedName name="data25">Objednávka!$D$28</definedName>
    <definedName name="data26">Objednávka!$E$28</definedName>
    <definedName name="data27">Objednávka!$F$28</definedName>
    <definedName name="data28">Objednávka!$N$28</definedName>
    <definedName name="data29">Objednávka!$D$29</definedName>
    <definedName name="data3">Objednávka!$E$14</definedName>
    <definedName name="data30">Objednávka!$E$29</definedName>
    <definedName name="data31">Objednávka!$F$29</definedName>
    <definedName name="data32">Objednávka!$N$29</definedName>
    <definedName name="data33">Objednávka!$D$30</definedName>
    <definedName name="data34">Objednávka!$E$30</definedName>
    <definedName name="data35">Objednávka!$F$30</definedName>
    <definedName name="data36">Objednávka!$N$30</definedName>
    <definedName name="data37">Objednávka!$D$31</definedName>
    <definedName name="data38">Objednávka!$E$31</definedName>
    <definedName name="data39">Objednávka!$F$31</definedName>
    <definedName name="data4">Objednávka!$H$14</definedName>
    <definedName name="data40">Objednávka!$N$31</definedName>
    <definedName name="data41">Objednávka!$D$32</definedName>
    <definedName name="data42">Objednávka!$E$32</definedName>
    <definedName name="data43">Objednávka!$F$32</definedName>
    <definedName name="data44">Objednávka!$N$32</definedName>
    <definedName name="data45">Objednávka!$D$33</definedName>
    <definedName name="data46">Objednávka!$E$33</definedName>
    <definedName name="data47">Objednávka!$F$33</definedName>
    <definedName name="data48">Objednávka!$N$33</definedName>
    <definedName name="data49">Objednávka!$D$34</definedName>
    <definedName name="data50">Objednávka!$E$34</definedName>
    <definedName name="data51">Objednávka!$F$34</definedName>
    <definedName name="data52">Objednávka!$N$34</definedName>
    <definedName name="data53">Objednávka!$D$35</definedName>
    <definedName name="data54">Objednávka!$E$35</definedName>
    <definedName name="data55">Objednávka!$F$35</definedName>
    <definedName name="data56">Objednávka!$N$35</definedName>
    <definedName name="data57">Objednávka!$D$36</definedName>
    <definedName name="data58">Objednávka!$E$36</definedName>
    <definedName name="data59">Objednávka!$F$36</definedName>
    <definedName name="data6">Objednávka!$E$16</definedName>
    <definedName name="data60">Objednávka!$N$36</definedName>
    <definedName name="data61">Objednávka!$D$37</definedName>
    <definedName name="data62">Objednávka!$E$37</definedName>
    <definedName name="data63">Objednávka!$F$37</definedName>
    <definedName name="data64">Objednávka!$N$37</definedName>
    <definedName name="data65">Objednávka!$D$38</definedName>
    <definedName name="data66">Objednávka!$E$38</definedName>
    <definedName name="data67">Objednávka!$F$38</definedName>
    <definedName name="data68">Objednávka!$N$38</definedName>
    <definedName name="data69">Objednávka!$D$39</definedName>
    <definedName name="data7">Objednávka!$M$12</definedName>
    <definedName name="data70">Objednávka!$E$39</definedName>
    <definedName name="data71">Objednávka!$F$39</definedName>
    <definedName name="data72">Objednávka!$N$39</definedName>
    <definedName name="data73">Objednávka!$D$40</definedName>
    <definedName name="data74">Objednávka!$E$40</definedName>
    <definedName name="data75">Objednávka!$F$40</definedName>
    <definedName name="data76">Objednávka!$N$40</definedName>
    <definedName name="data77">Objednávka!$D$41</definedName>
    <definedName name="data78">Objednávka!$E$41</definedName>
    <definedName name="data79">Objednávka!$F$41</definedName>
    <definedName name="data8">Objednávka!$M$13</definedName>
    <definedName name="data80">Objednávka!$N$41</definedName>
    <definedName name="data81">Objednávka!$E$44</definedName>
    <definedName name="data82">Objednávka!$E$45</definedName>
    <definedName name="data83">Objednávka!$E$46</definedName>
    <definedName name="data84">Objednávka!$E$47</definedName>
    <definedName name="data86">Objednávka!$G$48</definedName>
    <definedName name="data88">Objednávka!$G$49</definedName>
    <definedName name="data89">Objednávka!$O$49</definedName>
    <definedName name="data9">Objednávka!$M$14</definedName>
    <definedName name="data90">Objednávka!$Q$43</definedName>
    <definedName name="data91">Objednávka!$E$56</definedName>
    <definedName name="data92">Objednávka!$E$57</definedName>
    <definedName name="data93">Objednávka!$E$58</definedName>
    <definedName name="data94">Objednávka!$E$59</definedName>
    <definedName name="data95">Objednávka!$N$57</definedName>
    <definedName name="data96">Objednávka!$N$58</definedName>
    <definedName name="data97">Objednávka!$N$59</definedName>
    <definedName name="data98">Objednávka!$E$62</definedName>
    <definedName name="data99">Objednávka!$E$63</definedName>
    <definedName name="dflt1">'Úprava objednávky'!$D$22</definedName>
    <definedName name="dflt2">'Úprava objednávky'!$F$22</definedName>
    <definedName name="dflt3">'Úprava objednávky'!$F$23</definedName>
    <definedName name="dflt4">'Úprava objednávky'!$E$24</definedName>
    <definedName name="dflt5">'Úprava objednávky'!#REF!</definedName>
    <definedName name="dflt6">'Úprava objednávky'!#REF!</definedName>
    <definedName name="dflt7">'Úprava objednávky'!#REF!</definedName>
    <definedName name="display_area_1">'Úprava objednávky'!$B$2:$K$43</definedName>
    <definedName name="display_area_2">Objednávka!$C$3:$R$65</definedName>
    <definedName name="GoAssetChart">[0]!GoAssetChart</definedName>
    <definedName name="GoBack">[0]!GoBack</definedName>
    <definedName name="GoBalanceSheet">[0]!GoBalanceSheet</definedName>
    <definedName name="GoCashFlow">[0]!GoCashFlow</definedName>
    <definedName name="GoData">[0]!GoData</definedName>
    <definedName name="GoIncomeChart">[0]!GoIncomeChart</definedName>
    <definedName name="LOC">'Úprava objednávky'!$F$45</definedName>
    <definedName name="LTR">'Úprava objednávky'!$G$34</definedName>
    <definedName name="NO">Objednávka!$Q$4</definedName>
    <definedName name="NS">'Úprava objednávky'!$F$47</definedName>
    <definedName name="_xlnm.Print_Area" localSheetId="2">Objednávka!$C$3:$R$65</definedName>
    <definedName name="_xlnm.Print_Area" localSheetId="1">'Úprava objednávky'!$B$2:$K$43</definedName>
    <definedName name="qzqzqz10">Objednávka!$E$15:$J$15</definedName>
    <definedName name="qzqzqz11">Objednávka!$E$16:$J$16</definedName>
    <definedName name="qzqzqz12">Objednávka!$E$17:$J$17</definedName>
    <definedName name="qzqzqz13">Objednávka!$E$18:$J$18</definedName>
    <definedName name="qzqzqz14">Objednávka!$O$49:$P$49</definedName>
    <definedName name="qzqzqz15">Objednávka!$E$56:$J$59</definedName>
    <definedName name="qzqzqz16">Objednávka!$E$62:$P$64</definedName>
    <definedName name="qzqzqz17">Objednávka!$F$20:$M$20</definedName>
    <definedName name="qzqzqz18">Objednávka!$F$21:$M$21</definedName>
    <definedName name="qzqzqz19">Objednávka!$F$22:$M$22</definedName>
    <definedName name="qzqzqz20">Objednávka!$F$23:$M$23</definedName>
    <definedName name="qzqzqz21">Objednávka!$F$28:$M$28</definedName>
    <definedName name="qzqzqz22">Objednávka!$F$29:$M$29</definedName>
    <definedName name="qzqzqz23">Objednávka!$F$30:$M$30</definedName>
    <definedName name="qzqzqz24">Objednávka!$F$31:$M$31</definedName>
    <definedName name="qzqzqz25">Objednávka!$F$32:$M$32</definedName>
    <definedName name="qzqzqz26">Objednávka!$F$33:$M$33</definedName>
    <definedName name="qzqzqz27">Objednávka!$F$34:$M$34</definedName>
    <definedName name="qzqzqz28">Objednávka!$F$35:$M$35</definedName>
    <definedName name="qzqzqz29">Objednávka!$F$36:$M$36</definedName>
    <definedName name="qzqzqz30">Objednávka!$F$37:$M$37</definedName>
    <definedName name="qzqzqz31">Objednávka!$F$38:$M$38</definedName>
    <definedName name="qzqzqz32">Objednávka!$F$39:$M$39</definedName>
    <definedName name="qzqzqz33">Objednávka!$F$40:$M$40</definedName>
    <definedName name="qzqzqz34">Objednávka!$F$41:$M$41</definedName>
    <definedName name="qzqzqz35">Objednávka!$J$48:$L$48</definedName>
    <definedName name="qzqzqz36">Objednávka!$J$49:$L$49</definedName>
    <definedName name="qzqzqz37">Objednávka!$M$12:$Q$12</definedName>
    <definedName name="qzqzqz38">Objednávka!$M$13:$Q$13</definedName>
    <definedName name="qzqzqz39">Objednávka!$P$14:$Q$14</definedName>
    <definedName name="qzqzqz40">Objednávka!$M$15:$Q$15</definedName>
    <definedName name="qzqzqz41">Objednávka!$M$16:$Q$16</definedName>
    <definedName name="qzqzqz42">Objednávka!$M$17:$Q$17</definedName>
    <definedName name="qzqzqz43">Objednávka!$M$18:$Q$18</definedName>
    <definedName name="qzqzqz44">Objednávka!$N$20:$P$20</definedName>
    <definedName name="qzqzqz45">Objednávka!$N$21:$P$21</definedName>
    <definedName name="qzqzqz46">Objednávka!$N$22:$P$22</definedName>
    <definedName name="qzqzqz47">Objednávka!$N$23:$P$23</definedName>
    <definedName name="qzqzqz48">Objednávka!$N$28:$P$28</definedName>
    <definedName name="qzqzqz49">Objednávka!$N$29:$P$29</definedName>
    <definedName name="qzqzqz50">Objednávka!$N$30:$P$30</definedName>
    <definedName name="qzqzqz51">Objednávka!$N$31:$P$31</definedName>
    <definedName name="qzqzqz52">Objednávka!$N$32:$P$32</definedName>
    <definedName name="qzqzqz53">Objednávka!$N$33:$P$33</definedName>
    <definedName name="qzqzqz54">Objednávka!$N$34:$P$34</definedName>
    <definedName name="qzqzqz55">Objednávka!$N$35:$P$35</definedName>
    <definedName name="qzqzqz56">Objednávka!$N$36:$P$36</definedName>
    <definedName name="qzqzqz57">Objednávka!$N$37:$P$37</definedName>
    <definedName name="qzqzqz58">Objednávka!$N$38:$P$38</definedName>
    <definedName name="qzqzqz59">Objednávka!$N$39:$P$39</definedName>
    <definedName name="qzqzqz6">'Úprava objednávky'!$G$29:$H$29</definedName>
    <definedName name="qzqzqz60">Objednávka!$N$40:$P$40</definedName>
    <definedName name="qzqzqz61">Objednávka!$N$41:$P$41</definedName>
    <definedName name="qzqzqz62">Objednávka!$O$56:$P$56</definedName>
    <definedName name="qzqzqz63">Objednávka!$O$57:$P$57</definedName>
    <definedName name="qzqzqz64">Objednávka!$O$58:$P$58</definedName>
    <definedName name="qzqzqz65">Objednávka!$O$59:$P$59</definedName>
    <definedName name="qzqzqz7">Objednávka!$E$12:$J$12</definedName>
    <definedName name="qzqzqz8">Objednávka!$E$13:$J$13</definedName>
    <definedName name="qzqzqz9">Objednávka!$H$14:$J$14</definedName>
    <definedName name="SS">'Úprava objednávky'!$F$46</definedName>
    <definedName name="TOT">Objednávka!$Q$47</definedName>
    <definedName name="vital1">'Úprava objednávky'!$F$12</definedName>
    <definedName name="vital2">'Úprava objednávky'!$F$13</definedName>
    <definedName name="vital3">'Úprava objednávky'!$F$16</definedName>
    <definedName name="vital4">'Úprava objednávky'!$F$14</definedName>
    <definedName name="vital5">'Úprava objednávky'!$F$15</definedName>
    <definedName name="vital6">'Úprava objednávky'!$H$14</definedName>
    <definedName name="vital7">'Úprava objednávky'!$H$15</definedName>
    <definedName name="vital8">'Úprava objednávky'!$H$12</definedName>
    <definedName name="vital9">'Úprava objednávky'!$H$13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8" i="7" l="1"/>
  <c r="K8" i="7"/>
  <c r="J8" i="7"/>
  <c r="I8" i="7"/>
  <c r="H8" i="7"/>
  <c r="G8" i="7"/>
  <c r="F8" i="7"/>
  <c r="E8" i="7"/>
  <c r="D8" i="7"/>
  <c r="C8" i="7"/>
  <c r="B8" i="7"/>
  <c r="G2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Spokojený uživatel aplikací Microsoft Office</author>
  </authors>
  <commentList>
    <comment ref="F3" authorId="0" shapeId="0" xr:uid="{00000000-0006-0000-0100-000001000000}">
      <text>
        <r>
          <rPr>
            <sz val="8"/>
            <color indexed="81"/>
            <rFont val="Tahoma"/>
            <family val="2"/>
            <charset val="238"/>
          </rPr>
          <t>ÚPRAVA OBJEDNÁVKY
Na tomto listě uveďte všechny údaje o vaší firmě, které chcete použít pro další listy založené na této šabloně. Šablona upraví formát údajů a umístí je na listy vašich objednávek. Po provedení úprav můžete tento list zamknout a uložit šablonu pro další použití.</t>
        </r>
      </text>
    </comment>
    <comment ref="F7" authorId="0" shapeId="0" xr:uid="{00000000-0006-0000-0100-000002000000}">
      <text>
        <r>
          <rPr>
            <sz val="8"/>
            <color indexed="81"/>
            <rFont val="Tahoma"/>
            <family val="2"/>
            <charset val="238"/>
          </rPr>
          <t>ZAMKNOUT / ODEMKNOUT TENTO LIST
Klepnutím na toto tlačítko můžete objednávku chránit před nechtěnými změnami údajů. Tlačítko se potom změní na tlačítko Odemknout tento list, které můžete použít, pokud byste chtěli tyto údaje později změnit. Zvolíte-li toto tlačítko, budete moci list jednoduše zamknout nebo zvolit uložení vaší vlastní verze této šablony s provedenými úpravami.</t>
        </r>
      </text>
    </comment>
    <comment ref="H8" authorId="0" shapeId="0" xr:uid="{00000000-0006-0000-0100-000003000000}">
      <text>
        <r>
          <rPr>
            <sz val="8"/>
            <color indexed="81"/>
            <rFont val="Tahoma"/>
            <family val="2"/>
            <charset val="238"/>
          </rPr>
          <t>TIPY A KOMENTÁŘE
Tipy a komentáře jsou užitečné funkce aplikace Microsoft Excel. Tipy zobrazují informace o panelech nástrojů a komentáře o aktuálních buňkách na listu. Můžete si rovněž vytvářet své vlastní komentáře použitím tlačítka Nový komentář na panelu nástrojů Objednávka.</t>
        </r>
      </text>
    </comment>
    <comment ref="D10" authorId="0" shapeId="0" xr:uid="{00000000-0006-0000-0100-000004000000}">
      <text>
        <r>
          <rPr>
            <sz val="8"/>
            <color indexed="81"/>
            <rFont val="Tahoma"/>
            <family val="2"/>
            <charset val="238"/>
          </rPr>
          <t>ZADÁNÍ INFORMACÍ O FIRMĚ
Údaje zadané do těchto buněk se objeví v záhlaví objednávky. Všimněte si, že není třeba vyplňovat všechny buňky. Buňky, které necháte prázdné, se v záhlaví při tisku prostě neobjeví.</t>
        </r>
      </text>
    </comment>
    <comment ref="D19" authorId="0" shapeId="0" xr:uid="{00000000-0006-0000-0100-000005000000}">
      <text>
        <r>
          <rPr>
            <sz val="8"/>
            <color indexed="81"/>
            <rFont val="Tahoma"/>
            <family val="2"/>
            <charset val="238"/>
          </rPr>
          <t xml:space="preserve">ZADÁNÍ STANDARDNÍCH INFORMACÍ PRO OBJEDNÁVKY
Zadáním údajů do těchto buněk bude vaše objednávka automaticky aktualizována. Údaje v těchto buňkách můžete změnit smazáním starých údajů a zápisem nových. </t>
        </r>
      </text>
    </comment>
    <comment ref="F25" authorId="0" shapeId="0" xr:uid="{00000000-0006-0000-0100-000006000000}">
      <text>
        <r>
          <rPr>
            <sz val="8"/>
            <color indexed="81"/>
            <rFont val="Tahoma"/>
            <family val="2"/>
            <charset val="238"/>
          </rPr>
          <t>Číslování objednávek je normálně určeno jen pro váš počítač. Budete-li chtít vytvářet další objednávky z více než jednoho počítače v síti, zaškrtněte toto políčko a zadejte umístění serveru v poli Umístění počítacího souboru. Další informace o automatickém číslování získáte klepnutím na tlačítko Nápověda k šabloně na panelu nástrojů Objednávka.</t>
        </r>
      </text>
    </comment>
    <comment ref="F27" authorId="0" shapeId="0" xr:uid="{00000000-0006-0000-0100-000007000000}">
      <text>
        <r>
          <rPr>
            <sz val="8"/>
            <color indexed="81"/>
            <rFont val="Tahoma"/>
            <family val="2"/>
            <charset val="238"/>
          </rPr>
          <t>Počítací soubor pro objednávky musí být umístěn na serveru na obecně přístupném místě. 
POZNÁMKA: Zadejte pouze CESTU.</t>
        </r>
      </text>
    </comment>
    <comment ref="F29" authorId="0" shapeId="0" xr:uid="{00000000-0006-0000-0100-000008000000}">
      <text>
        <r>
          <rPr>
            <sz val="8"/>
            <color indexed="81"/>
            <rFont val="Tahoma"/>
            <family val="2"/>
            <charset val="238"/>
          </rPr>
          <t>Každá objednávka, kterou vytvoříte pomocí této šablony, může být automaticky uložena do zvláštní kontrolní databáze. Tuto databázi vám vytvoří Průvodce šablonou.   Z TÉTO BUŇKY NELZE ZMĚNIT UMÍSTĚNÍ DATABÁZE. Chcete-li použít jinou databázi, vytvořte ji pomocí Průvodce šablonou. Další informace o databázi Průvodce šablonou získáte klepnutím na tlačítko Nápověda na panelu nástrojů Objednávka.</t>
        </r>
      </text>
    </comment>
    <comment ref="D32" authorId="0" shapeId="0" xr:uid="{00000000-0006-0000-0100-000009000000}">
      <text>
        <r>
          <rPr>
            <sz val="8"/>
            <color indexed="81"/>
            <rFont val="Tahoma"/>
            <family val="2"/>
            <charset val="238"/>
          </rPr>
          <t>URČENÍ VZHLEDU ZÁHLAVÍ OBJEDNÁVKY
Tuto oblast použijte pro určení vzhledu záhlaví objednávky. Chcete-li použít jako logo vaší firmy obrázek, klepněte na tlačítko Vybrat logo. Písmo záhlaví můžete změnit klepnutím na tlačítko Změnit písmo záhlaví. Nový vzhled záhlaví bude automaticky použit u všech dalších listů. Vzorová loga můžete najít v adresáři obsahujícím kliparty z instalace aplikace Microsoft Office.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Spokojený uživatel aplikací Microsoft Office</author>
  </authors>
  <commentList>
    <comment ref="C3" authorId="0" shapeId="0" xr:uid="{00000000-0006-0000-0200-000001000000}">
      <text>
        <r>
          <rPr>
            <sz val="8"/>
            <color indexed="81"/>
            <rFont val="Tahoma"/>
            <family val="2"/>
            <charset val="238"/>
          </rPr>
          <t xml:space="preserve">Pokud jste na list Úprava objednávky nevložili logo, tento rámeček se při tisku na stránce neobjeví. </t>
        </r>
      </text>
    </comment>
    <comment ref="P4" authorId="0" shapeId="0" xr:uid="{00000000-0006-0000-0200-000002000000}">
      <text>
        <r>
          <rPr>
            <sz val="8"/>
            <color indexed="81"/>
            <rFont val="Tahoma"/>
            <family val="2"/>
            <charset val="238"/>
          </rPr>
          <t>Toto je místo pro jednoznačný identifikátor každé objednávky. Chcete-li vložit jednoznačné číslo, klepněte na tlačítko Přiřadit číslo na panelu nástrojů Objednávka. Nezapomeňte, že budete-li chtít vytvářet další objednávky z více než jednoho počítače v síti, musíte přejít na list Úprava objednávky a změnit tuto volbu.</t>
        </r>
      </text>
    </comment>
    <comment ref="P5" authorId="0" shapeId="0" xr:uid="{00000000-0006-0000-0200-000003000000}">
      <text>
        <r>
          <rPr>
            <sz val="8"/>
            <color indexed="81"/>
            <rFont val="Tahoma"/>
            <family val="2"/>
            <charset val="238"/>
          </rPr>
          <t xml:space="preserve">Na toto tlačítko klepněte, chcete-li se vrátit na list Úprava objednávky a změnit její úpravu. </t>
        </r>
      </text>
    </comment>
    <comment ref="E20" authorId="0" shapeId="0" xr:uid="{00000000-0006-0000-0200-000004000000}">
      <text>
        <r>
          <rPr>
            <sz val="8"/>
            <color indexed="81"/>
            <rFont val="Tahoma"/>
            <family val="2"/>
            <charset val="238"/>
          </rPr>
          <t xml:space="preserve">Do tohoto sloupce napište měrnou jednotku, k níž se vztahuje cena za jednotku (ks, kg, bal., hod. apod.). </t>
        </r>
      </text>
    </comment>
    <comment ref="E42" authorId="0" shapeId="0" xr:uid="{00000000-0006-0000-0200-000005000000}">
      <text>
        <r>
          <rPr>
            <sz val="8"/>
            <color indexed="81"/>
            <rFont val="Tahoma"/>
            <family val="2"/>
            <charset val="238"/>
          </rPr>
          <t xml:space="preserve">ZADÁNÍ INFORMACÍ O PROVEDENÍ PLATBY
Zaškrtněte platební metodu. V případě kreditní karty vyberte její typ a zadejte potřebné údaje. </t>
        </r>
      </text>
    </comment>
  </commentList>
</comments>
</file>

<file path=xl/sharedStrings.xml><?xml version="1.0" encoding="utf-8"?>
<sst xmlns="http://schemas.openxmlformats.org/spreadsheetml/2006/main" count="118" uniqueCount="106">
  <si>
    <t>ÚPRAVA OBJEDNÁVKY</t>
  </si>
  <si>
    <t>Sem zadejte údaje o firmě...</t>
  </si>
  <si>
    <t xml:space="preserve">Telefon  </t>
  </si>
  <si>
    <t xml:space="preserve">Adresa  </t>
  </si>
  <si>
    <t xml:space="preserve">Fax  </t>
  </si>
  <si>
    <t xml:space="preserve">Město  </t>
  </si>
  <si>
    <t xml:space="preserve">IČO  </t>
  </si>
  <si>
    <t xml:space="preserve">PSČ  </t>
  </si>
  <si>
    <t xml:space="preserve">DIČ  </t>
  </si>
  <si>
    <t xml:space="preserve">Vyřizuje  </t>
  </si>
  <si>
    <t>Sem zadejte standardní údaje pro objednávky...</t>
  </si>
  <si>
    <t xml:space="preserve">Kreditní karty  </t>
  </si>
  <si>
    <t>Kreditní karta č.1</t>
  </si>
  <si>
    <t xml:space="preserve">  zároveň údaji o odběrateli</t>
  </si>
  <si>
    <t>Kreditní karta č.2</t>
  </si>
  <si>
    <t>Kreditní karta č.3</t>
  </si>
  <si>
    <t>Objednávka</t>
  </si>
  <si>
    <t/>
  </si>
  <si>
    <t>Jméno</t>
  </si>
  <si>
    <t>Adresa</t>
  </si>
  <si>
    <t>PSČ</t>
  </si>
  <si>
    <t xml:space="preserve">   Město</t>
  </si>
  <si>
    <t>Vyřizuje</t>
  </si>
  <si>
    <t>Telefon</t>
  </si>
  <si>
    <t>IČO</t>
  </si>
  <si>
    <t>DIČ</t>
  </si>
  <si>
    <t>Počet</t>
  </si>
  <si>
    <t>Jedn.</t>
  </si>
  <si>
    <t>Popis</t>
  </si>
  <si>
    <t>Cena za jedn.</t>
  </si>
  <si>
    <t>CELKEM</t>
  </si>
  <si>
    <t>Šekem</t>
  </si>
  <si>
    <t>Kreditní kartou</t>
  </si>
  <si>
    <t>Na účet</t>
  </si>
  <si>
    <t xml:space="preserve"> </t>
  </si>
  <si>
    <t>Datum</t>
  </si>
  <si>
    <t>Objedn. č.</t>
  </si>
  <si>
    <t>Zpráva</t>
  </si>
  <si>
    <t>Doprava</t>
  </si>
  <si>
    <t>AutoTemplateWizardDONTMESSWITHIT</t>
  </si>
  <si>
    <t>Typ databáze:</t>
  </si>
  <si>
    <t>Excel 5.0</t>
  </si>
  <si>
    <t>Umístění databáze</t>
  </si>
  <si>
    <t>Reserved</t>
  </si>
  <si>
    <t>Počet tabulek:</t>
  </si>
  <si>
    <t>Název tabulky:</t>
  </si>
  <si>
    <t>Tabulka1</t>
  </si>
  <si>
    <t>Počet polí:</t>
  </si>
  <si>
    <t>Název pole:</t>
  </si>
  <si>
    <t>Číslo objednávky</t>
  </si>
  <si>
    <t>Datum objednávky</t>
  </si>
  <si>
    <t>Jméno dodavatele</t>
  </si>
  <si>
    <t>Adresa dodavatele</t>
  </si>
  <si>
    <t>Město dodavatele</t>
  </si>
  <si>
    <t>PSČ dodavatele</t>
  </si>
  <si>
    <t>Vyřizující osoba dodavatele</t>
  </si>
  <si>
    <t>Telefon dodavatele</t>
  </si>
  <si>
    <t>IČO dodavatele</t>
  </si>
  <si>
    <t>DIČ dodavatele</t>
  </si>
  <si>
    <t>Objednávka celkem</t>
  </si>
  <si>
    <t>odkazuje na:</t>
  </si>
  <si>
    <t xml:space="preserve">  Údaje o firmě jsou</t>
  </si>
  <si>
    <t xml:space="preserve">Umístění počítacího souboru  </t>
  </si>
  <si>
    <t xml:space="preserve">Název firmy  </t>
  </si>
  <si>
    <t>Umístěním ukazatele myši</t>
  </si>
  <si>
    <t>na TOTO místo získáte užitečný tip.</t>
  </si>
  <si>
    <t xml:space="preserve">Databáze Průvodce šablonou  </t>
  </si>
  <si>
    <t>Vzhled záhlaví…</t>
  </si>
  <si>
    <t xml:space="preserve">  Sdílet čísla objednávek v síti</t>
  </si>
  <si>
    <t xml:space="preserve">  Číslo účtu / kreditní karty</t>
  </si>
  <si>
    <t xml:space="preserve">  Kód banky / Platí do</t>
  </si>
  <si>
    <t>C:\PROGRAM FILES\MICROSOFT OFFICE\OFFICE\LIBRARY\Podb.xls</t>
  </si>
  <si>
    <t>V Klidu 3133/12</t>
  </si>
  <si>
    <t>Ústí nad Labem</t>
  </si>
  <si>
    <t>400 11</t>
  </si>
  <si>
    <t>472775577</t>
  </si>
  <si>
    <t>472776089</t>
  </si>
  <si>
    <t>44555326</t>
  </si>
  <si>
    <t>KB UL</t>
  </si>
  <si>
    <t>CZ 44555326</t>
  </si>
  <si>
    <t>Doubravová</t>
  </si>
  <si>
    <t>CZ44555326</t>
  </si>
  <si>
    <t>++++++++++++</t>
  </si>
  <si>
    <t>Domov pro seniory Severní Terasa p. o.</t>
  </si>
  <si>
    <t>Domov pro seniory Severní Terasa, PO</t>
  </si>
  <si>
    <t>telefon:</t>
  </si>
  <si>
    <t>IČO:</t>
  </si>
  <si>
    <t>hotově</t>
  </si>
  <si>
    <t>PSČ:</t>
  </si>
  <si>
    <t>Město:</t>
  </si>
  <si>
    <t>3783550247/0100</t>
  </si>
  <si>
    <t>AEC Novák  s. r. o.</t>
  </si>
  <si>
    <t>Beethovenova 28/216</t>
  </si>
  <si>
    <t>40001</t>
  </si>
  <si>
    <t>475 309 077, 725 519 151</t>
  </si>
  <si>
    <t>pan Ondřej Pilný, pilny@aecusti.cz</t>
  </si>
  <si>
    <t>Lenert Václav</t>
  </si>
  <si>
    <t>472 775 577, 731 610 558</t>
  </si>
  <si>
    <t>dle dohody</t>
  </si>
  <si>
    <t>CZ 49097652</t>
  </si>
  <si>
    <t>49097652</t>
  </si>
  <si>
    <t>Uvedená cena je včetně 21% DPH.</t>
  </si>
  <si>
    <t>Ing. Bc. Petr Boťanský ředitel Domova pro seniory Severní Terasa p. o. UL</t>
  </si>
  <si>
    <t xml:space="preserve">- doplnění kamery na chodbu ke kinosálu v objektu </t>
  </si>
  <si>
    <t>DpS ST dle  nabídky "N-20-0096 ze dne 09. 04. 2020"</t>
  </si>
  <si>
    <t>34/2020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</si>
</sst>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0.00\ &quot;Kč&quot;;[Red]\-#,##0.00\ &quot;Kč&quot;"/>
    <numFmt numFmtId="41" formatCode="_-* #,##0_-;\-* #,##0_-;_-* &quot;-&quot;_-;_-@_-"/>
    <numFmt numFmtId="43" formatCode="_-* #,##0.00_-;\-* #,##0.00_-;_-* &quot;-&quot;??_-;_-@_-"/>
    <numFmt numFmtId="164" formatCode="&quot;$&quot;#,##0_);\(&quot;$&quot;#,##0\)"/>
    <numFmt numFmtId="165" formatCode="&quot;$&quot;#,##0.00_);\(&quot;$&quot;#,##0.00\)"/>
    <numFmt numFmtId="166" formatCode="_(&quot;$&quot;* #,##0.00_);_(&quot;$&quot;* \(#,##0.00\);_(&quot;$&quot;* &quot;-&quot;??_);_(@_)"/>
    <numFmt numFmtId="167" formatCode=";;;"/>
    <numFmt numFmtId="168" formatCode="_ * #,##0_ ;_ * \-#,##0_ ;_ * &quot;-&quot;_ ;_ @_ "/>
    <numFmt numFmtId="169" formatCode="_-&quot;Ł&quot;* #,##0_-;\-&quot;Ł&quot;* #,##0_-;_-&quot;Ł&quot;* &quot;-&quot;_-;_-@_-"/>
    <numFmt numFmtId="170" formatCode="_-&quot;Ł&quot;* #,##0.00_-;\-&quot;Ł&quot;* #,##0.00_-;_-&quot;Ł&quot;* &quot;-&quot;??_-;_-@_-"/>
    <numFmt numFmtId="171" formatCode="#,##0.00\ &quot;Kč&quot;"/>
  </numFmts>
  <fonts count="32" x14ac:knownFonts="1">
    <font>
      <sz val="10"/>
      <name val="Arial"/>
    </font>
    <font>
      <sz val="10"/>
      <name val="Arial"/>
    </font>
    <font>
      <sz val="10"/>
      <color indexed="8"/>
      <name val="Arial"/>
      <family val="2"/>
    </font>
    <font>
      <sz val="10"/>
      <name val="Arial CE"/>
      <family val="2"/>
      <charset val="238"/>
    </font>
    <font>
      <b/>
      <sz val="10"/>
      <name val="Arial CE"/>
      <family val="2"/>
      <charset val="238"/>
    </font>
    <font>
      <b/>
      <i/>
      <sz val="14"/>
      <name val="Arial CE"/>
      <family val="2"/>
      <charset val="238"/>
    </font>
    <font>
      <sz val="8"/>
      <name val="Arial CE"/>
      <family val="2"/>
      <charset val="238"/>
    </font>
    <font>
      <b/>
      <i/>
      <sz val="18"/>
      <name val="Arial CE"/>
      <family val="2"/>
      <charset val="238"/>
    </font>
    <font>
      <i/>
      <sz val="10"/>
      <name val="Arial CE"/>
      <family val="2"/>
      <charset val="238"/>
    </font>
    <font>
      <sz val="10"/>
      <color indexed="10"/>
      <name val="Arial CE"/>
      <family val="2"/>
      <charset val="238"/>
    </font>
    <font>
      <i/>
      <sz val="11"/>
      <name val="Arial CE"/>
      <family val="2"/>
      <charset val="238"/>
    </font>
    <font>
      <sz val="10"/>
      <color indexed="12"/>
      <name val="Arial CE"/>
      <family val="2"/>
      <charset val="238"/>
    </font>
    <font>
      <sz val="8"/>
      <name val="Tahoma"/>
      <family val="2"/>
      <charset val="238"/>
    </font>
    <font>
      <sz val="8"/>
      <color indexed="8"/>
      <name val="Times New Roman CE"/>
      <family val="1"/>
      <charset val="238"/>
    </font>
    <font>
      <sz val="8"/>
      <name val="Arial"/>
    </font>
    <font>
      <u/>
      <sz val="10"/>
      <color indexed="12"/>
      <name val="Arial"/>
    </font>
    <font>
      <sz val="8"/>
      <color indexed="81"/>
      <name val="Tahoma"/>
      <family val="2"/>
      <charset val="238"/>
    </font>
    <font>
      <sz val="8"/>
      <name val="Arial CE"/>
    </font>
    <font>
      <sz val="10"/>
      <color rgb="FF000000"/>
      <name val="Arial"/>
      <family val="2"/>
      <charset val="238"/>
    </font>
    <font>
      <b/>
      <sz val="10"/>
      <color rgb="FF000000"/>
      <name val="Arial"/>
      <family val="2"/>
      <charset val="238"/>
    </font>
    <font>
      <sz val="10"/>
      <color rgb="FF000000"/>
      <name val="Arial CE"/>
    </font>
    <font>
      <sz val="10"/>
      <name val="Arial CE"/>
      <family val="2"/>
      <charset val="238"/>
    </font>
    <font>
      <b/>
      <sz val="10"/>
      <name val="Arial CE"/>
      <family val="2"/>
      <charset val="238"/>
    </font>
    <font>
      <b/>
      <sz val="10"/>
      <color indexed="10"/>
      <name val="Arial CE"/>
      <family val="2"/>
      <charset val="238"/>
    </font>
    <font>
      <b/>
      <i/>
      <sz val="14"/>
      <name val="Arial CE"/>
      <family val="2"/>
      <charset val="238"/>
    </font>
    <font>
      <u/>
      <sz val="10"/>
      <color indexed="12"/>
      <name val="Arial"/>
      <family val="2"/>
      <charset val="238"/>
    </font>
    <font>
      <sz val="10"/>
      <name val="Arial"/>
      <family val="2"/>
      <charset val="238"/>
    </font>
    <font>
      <sz val="10"/>
      <color indexed="8"/>
      <name val="Arial"/>
      <family val="2"/>
      <charset val="238"/>
    </font>
    <font>
      <sz val="10"/>
      <color indexed="8"/>
      <name val="Arial CE"/>
      <family val="2"/>
      <charset val="238"/>
    </font>
    <font>
      <sz val="10"/>
      <name val="Arial CE"/>
      <charset val="238"/>
    </font>
    <font>
      <b/>
      <sz val="10"/>
      <name val="Arial"/>
      <family val="2"/>
      <charset val="238"/>
    </font>
    <font>
      <sz val="8"/>
      <name val="Arial CE"/>
      <family val="2"/>
      <charset val="238"/>
    </font>
  </fonts>
  <fills count="6">
    <fill>
      <patternFill patternType="none"/>
    </fill>
    <fill>
      <patternFill patternType="gray125"/>
    </fill>
    <fill>
      <patternFill patternType="solid">
        <fgColor indexed="58"/>
        <bgColor indexed="64"/>
      </patternFill>
    </fill>
    <fill>
      <patternFill patternType="solid">
        <fgColor indexed="9"/>
        <bgColor indexed="64"/>
      </patternFill>
    </fill>
    <fill>
      <patternFill patternType="solid">
        <fgColor indexed="22"/>
        <bgColor indexed="64"/>
      </patternFill>
    </fill>
    <fill>
      <patternFill patternType="solid">
        <fgColor indexed="41"/>
        <bgColor indexed="64"/>
      </patternFill>
    </fill>
  </fills>
  <borders count="43">
    <border>
      <left/>
      <right/>
      <top/>
      <bottom/>
      <diagonal/>
    </border>
    <border>
      <left style="thick">
        <color indexed="22"/>
      </left>
      <right/>
      <top style="thick">
        <color indexed="22"/>
      </top>
      <bottom/>
      <diagonal/>
    </border>
    <border>
      <left/>
      <right/>
      <top style="thick">
        <color indexed="22"/>
      </top>
      <bottom/>
      <diagonal/>
    </border>
    <border>
      <left/>
      <right style="thick">
        <color indexed="22"/>
      </right>
      <top style="thick">
        <color indexed="22"/>
      </top>
      <bottom/>
      <diagonal/>
    </border>
    <border>
      <left style="thick">
        <color indexed="22"/>
      </left>
      <right/>
      <top/>
      <bottom/>
      <diagonal/>
    </border>
    <border>
      <left/>
      <right style="thick">
        <color indexed="22"/>
      </right>
      <top/>
      <bottom/>
      <diagonal/>
    </border>
    <border>
      <left/>
      <right/>
      <top style="thick">
        <color indexed="48"/>
      </top>
      <bottom style="thin">
        <color indexed="32"/>
      </bottom>
      <diagonal/>
    </border>
    <border>
      <left/>
      <right/>
      <top/>
      <bottom style="hair">
        <color indexed="22"/>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thick">
        <color indexed="22"/>
      </left>
      <right/>
      <top/>
      <bottom style="thick">
        <color indexed="22"/>
      </bottom>
      <diagonal/>
    </border>
    <border>
      <left/>
      <right/>
      <top/>
      <bottom style="thick">
        <color indexed="22"/>
      </bottom>
      <diagonal/>
    </border>
    <border>
      <left/>
      <right style="thick">
        <color indexed="22"/>
      </right>
      <top/>
      <bottom style="thick">
        <color indexed="22"/>
      </bottom>
      <diagonal/>
    </border>
    <border>
      <left style="thick">
        <color indexed="22"/>
      </left>
      <right/>
      <top style="medium">
        <color indexed="48"/>
      </top>
      <bottom style="thin">
        <color indexed="32"/>
      </bottom>
      <diagonal/>
    </border>
    <border>
      <left/>
      <right style="thick">
        <color indexed="22"/>
      </right>
      <top style="medium">
        <color indexed="48"/>
      </top>
      <bottom style="thin">
        <color indexed="32"/>
      </bottom>
      <diagonal/>
    </border>
    <border>
      <left style="medium">
        <color indexed="32"/>
      </left>
      <right/>
      <top style="medium">
        <color indexed="32"/>
      </top>
      <bottom/>
      <diagonal/>
    </border>
    <border>
      <left/>
      <right/>
      <top style="medium">
        <color indexed="32"/>
      </top>
      <bottom/>
      <diagonal/>
    </border>
    <border>
      <left/>
      <right style="medium">
        <color indexed="32"/>
      </right>
      <top style="medium">
        <color indexed="32"/>
      </top>
      <bottom/>
      <diagonal/>
    </border>
    <border>
      <left style="medium">
        <color indexed="32"/>
      </left>
      <right/>
      <top/>
      <bottom/>
      <diagonal/>
    </border>
    <border>
      <left style="medium">
        <color indexed="32"/>
      </left>
      <right style="medium">
        <color indexed="32"/>
      </right>
      <top style="medium">
        <color indexed="32"/>
      </top>
      <bottom style="thin">
        <color indexed="32"/>
      </bottom>
      <diagonal/>
    </border>
    <border>
      <left/>
      <right style="medium">
        <color indexed="32"/>
      </right>
      <top/>
      <bottom/>
      <diagonal/>
    </border>
    <border>
      <left style="medium">
        <color indexed="32"/>
      </left>
      <right style="medium">
        <color indexed="32"/>
      </right>
      <top/>
      <bottom style="thin">
        <color indexed="32"/>
      </bottom>
      <diagonal/>
    </border>
    <border>
      <left style="medium">
        <color indexed="32"/>
      </left>
      <right style="medium">
        <color indexed="32"/>
      </right>
      <top/>
      <bottom style="medium">
        <color indexed="32"/>
      </bottom>
      <diagonal/>
    </border>
    <border>
      <left style="medium">
        <color indexed="32"/>
      </left>
      <right/>
      <top/>
      <bottom style="medium">
        <color indexed="32"/>
      </bottom>
      <diagonal/>
    </border>
    <border>
      <left/>
      <right/>
      <top/>
      <bottom style="medium">
        <color indexed="32"/>
      </bottom>
      <diagonal/>
    </border>
    <border>
      <left/>
      <right style="medium">
        <color indexed="32"/>
      </right>
      <top/>
      <bottom style="medium">
        <color indexed="32"/>
      </bottom>
      <diagonal/>
    </border>
    <border>
      <left style="thin">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bottom/>
      <diagonal/>
    </border>
    <border>
      <left style="medium">
        <color indexed="32"/>
      </left>
      <right/>
      <top style="medium">
        <color indexed="32"/>
      </top>
      <bottom style="medium">
        <color indexed="32"/>
      </bottom>
      <diagonal/>
    </border>
    <border>
      <left/>
      <right style="medium">
        <color indexed="32"/>
      </right>
      <top style="medium">
        <color indexed="32"/>
      </top>
      <bottom style="medium">
        <color indexed="32"/>
      </bottom>
      <diagonal/>
    </border>
    <border>
      <left/>
      <right/>
      <top/>
      <bottom style="thick">
        <color indexed="48"/>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right/>
      <top style="hair">
        <color indexed="22"/>
      </top>
      <bottom style="hair">
        <color indexed="22"/>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s>
  <cellStyleXfs count="10">
    <xf numFmtId="0" fontId="0" fillId="2" borderId="0"/>
    <xf numFmtId="41" fontId="1" fillId="0" borderId="0" applyFont="0" applyFill="0" applyBorder="0" applyAlignment="0" applyProtection="0"/>
    <xf numFmtId="43" fontId="1" fillId="0" borderId="0" applyFont="0" applyFill="0" applyBorder="0" applyAlignment="0" applyProtection="0"/>
    <xf numFmtId="0" fontId="15" fillId="0" borderId="0" applyNumberFormat="0" applyFill="0" applyBorder="0" applyAlignment="0" applyProtection="0">
      <alignment vertical="top"/>
      <protection locked="0"/>
    </xf>
    <xf numFmtId="166" fontId="1" fillId="0" borderId="0" applyFont="0" applyFill="0" applyBorder="0" applyAlignment="0" applyProtection="0"/>
    <xf numFmtId="0" fontId="2" fillId="2" borderId="0"/>
    <xf numFmtId="9" fontId="1" fillId="0" borderId="0" applyFont="0" applyFill="0" applyBorder="0" applyAlignment="0" applyProtection="0"/>
    <xf numFmtId="0" fontId="1" fillId="2" borderId="0"/>
    <xf numFmtId="169" fontId="1" fillId="0" borderId="0" applyFont="0" applyFill="0" applyBorder="0" applyAlignment="0" applyProtection="0"/>
    <xf numFmtId="170" fontId="1" fillId="0" borderId="0" applyFont="0" applyFill="0" applyBorder="0" applyAlignment="0" applyProtection="0"/>
  </cellStyleXfs>
  <cellXfs count="153">
    <xf numFmtId="0" fontId="0" fillId="2" borderId="0" xfId="0"/>
    <xf numFmtId="0" fontId="3" fillId="2" borderId="0" xfId="0" applyFont="1"/>
    <xf numFmtId="0" fontId="3" fillId="3" borderId="1" xfId="0" applyFont="1" applyFill="1" applyBorder="1"/>
    <xf numFmtId="0" fontId="3" fillId="3" borderId="2" xfId="0" applyFont="1" applyFill="1" applyBorder="1"/>
    <xf numFmtId="0" fontId="3" fillId="3" borderId="3" xfId="0" applyFont="1" applyFill="1" applyBorder="1"/>
    <xf numFmtId="0" fontId="3" fillId="3" borderId="4" xfId="0" applyFont="1" applyFill="1" applyBorder="1"/>
    <xf numFmtId="0" fontId="3" fillId="3" borderId="0" xfId="0" applyFont="1" applyFill="1" applyBorder="1"/>
    <xf numFmtId="0" fontId="3" fillId="3" borderId="5" xfId="0" applyFont="1" applyFill="1" applyBorder="1"/>
    <xf numFmtId="0" fontId="3" fillId="3" borderId="6" xfId="0" applyFont="1" applyFill="1" applyBorder="1"/>
    <xf numFmtId="0" fontId="3" fillId="3" borderId="11" xfId="0" applyFont="1" applyFill="1" applyBorder="1"/>
    <xf numFmtId="0" fontId="3" fillId="3" borderId="12" xfId="0" applyFont="1" applyFill="1" applyBorder="1"/>
    <xf numFmtId="0" fontId="3" fillId="3" borderId="13" xfId="0" applyFont="1" applyFill="1" applyBorder="1"/>
    <xf numFmtId="0" fontId="3" fillId="3" borderId="0" xfId="0" applyFont="1" applyFill="1" applyBorder="1" applyAlignment="1">
      <alignment horizontal="centerContinuous"/>
    </xf>
    <xf numFmtId="0" fontId="6" fillId="3" borderId="0" xfId="0" applyFont="1" applyFill="1" applyBorder="1" applyAlignment="1">
      <alignment horizontal="center"/>
    </xf>
    <xf numFmtId="0" fontId="3" fillId="3" borderId="14" xfId="0" applyFont="1" applyFill="1" applyBorder="1"/>
    <xf numFmtId="0" fontId="3" fillId="3" borderId="15" xfId="0" applyFont="1" applyFill="1" applyBorder="1"/>
    <xf numFmtId="0" fontId="5" fillId="3" borderId="0" xfId="0" applyFont="1" applyFill="1" applyBorder="1"/>
    <xf numFmtId="0" fontId="9" fillId="3" borderId="0" xfId="0" applyFont="1" applyFill="1" applyBorder="1"/>
    <xf numFmtId="0" fontId="4" fillId="4" borderId="16" xfId="0" applyFont="1" applyFill="1" applyBorder="1"/>
    <xf numFmtId="0" fontId="4" fillId="4" borderId="17" xfId="0" applyFont="1" applyFill="1" applyBorder="1"/>
    <xf numFmtId="0" fontId="3" fillId="4" borderId="17" xfId="0" applyFont="1" applyFill="1" applyBorder="1"/>
    <xf numFmtId="0" fontId="3" fillId="4" borderId="18" xfId="0" applyFont="1" applyFill="1" applyBorder="1"/>
    <xf numFmtId="0" fontId="3" fillId="4" borderId="19" xfId="0" applyFont="1" applyFill="1" applyBorder="1" applyAlignment="1">
      <alignment horizontal="right"/>
    </xf>
    <xf numFmtId="0" fontId="3" fillId="4" borderId="0" xfId="0" applyFont="1" applyFill="1" applyBorder="1" applyAlignment="1">
      <alignment horizontal="right"/>
    </xf>
    <xf numFmtId="49" fontId="3" fillId="3" borderId="20" xfId="0" applyNumberFormat="1" applyFont="1" applyFill="1" applyBorder="1" applyAlignment="1">
      <alignment horizontal="left"/>
    </xf>
    <xf numFmtId="0" fontId="3" fillId="4" borderId="21" xfId="0" applyFont="1" applyFill="1" applyBorder="1" applyAlignment="1">
      <alignment horizontal="right"/>
    </xf>
    <xf numFmtId="0" fontId="3" fillId="4" borderId="21" xfId="0" applyFont="1" applyFill="1" applyBorder="1"/>
    <xf numFmtId="49" fontId="3" fillId="3" borderId="22" xfId="0" applyNumberFormat="1" applyFont="1" applyFill="1" applyBorder="1" applyAlignment="1">
      <alignment horizontal="left"/>
    </xf>
    <xf numFmtId="49" fontId="3" fillId="3" borderId="23" xfId="0" applyNumberFormat="1" applyFont="1" applyFill="1" applyBorder="1"/>
    <xf numFmtId="0" fontId="3" fillId="4" borderId="0" xfId="0" applyFont="1" applyFill="1" applyBorder="1"/>
    <xf numFmtId="0" fontId="3" fillId="4" borderId="24" xfId="0" applyFont="1" applyFill="1" applyBorder="1"/>
    <xf numFmtId="0" fontId="3" fillId="4" borderId="25" xfId="0" applyFont="1" applyFill="1" applyBorder="1"/>
    <xf numFmtId="0" fontId="3" fillId="4" borderId="26" xfId="0" applyFont="1" applyFill="1" applyBorder="1"/>
    <xf numFmtId="0" fontId="3" fillId="4" borderId="19" xfId="0" quotePrefix="1" applyFont="1" applyFill="1" applyBorder="1" applyAlignment="1">
      <alignment horizontal="right"/>
    </xf>
    <xf numFmtId="0" fontId="8" fillId="4" borderId="0" xfId="0" quotePrefix="1" applyFont="1" applyFill="1" applyBorder="1" applyAlignment="1">
      <alignment horizontal="left"/>
    </xf>
    <xf numFmtId="0" fontId="3" fillId="4" borderId="0" xfId="0" quotePrefix="1" applyFont="1" applyFill="1" applyBorder="1" applyAlignment="1">
      <alignment horizontal="right"/>
    </xf>
    <xf numFmtId="0" fontId="10" fillId="4" borderId="0" xfId="0" quotePrefix="1" applyFont="1" applyFill="1" applyBorder="1" applyAlignment="1">
      <alignment horizontal="left"/>
    </xf>
    <xf numFmtId="0" fontId="3" fillId="4" borderId="0" xfId="0" applyFont="1" applyFill="1"/>
    <xf numFmtId="0" fontId="3" fillId="3" borderId="22" xfId="0" applyFont="1" applyFill="1" applyBorder="1"/>
    <xf numFmtId="167" fontId="3" fillId="4" borderId="0" xfId="0" applyNumberFormat="1" applyFont="1" applyFill="1" applyBorder="1"/>
    <xf numFmtId="0" fontId="3" fillId="4" borderId="0" xfId="0" applyFont="1" applyFill="1" applyAlignment="1">
      <alignment horizontal="right"/>
    </xf>
    <xf numFmtId="0" fontId="11" fillId="4" borderId="19" xfId="0" applyFont="1" applyFill="1" applyBorder="1" applyAlignment="1"/>
    <xf numFmtId="0" fontId="11" fillId="4" borderId="0" xfId="0" applyFont="1" applyFill="1" applyBorder="1" applyAlignment="1"/>
    <xf numFmtId="0" fontId="11" fillId="4" borderId="21" xfId="0" applyFont="1" applyFill="1" applyBorder="1" applyAlignment="1"/>
    <xf numFmtId="0" fontId="11" fillId="3" borderId="0" xfId="0" applyFont="1" applyFill="1" applyBorder="1" applyAlignment="1"/>
    <xf numFmtId="0" fontId="11" fillId="3" borderId="5" xfId="0" applyFont="1" applyFill="1" applyBorder="1" applyAlignment="1"/>
    <xf numFmtId="0" fontId="11" fillId="4" borderId="24" xfId="0" applyFont="1" applyFill="1" applyBorder="1" applyAlignment="1"/>
    <xf numFmtId="0" fontId="11" fillId="4" borderId="25" xfId="0" applyFont="1" applyFill="1" applyBorder="1" applyAlignment="1"/>
    <xf numFmtId="0" fontId="11" fillId="4" borderId="26" xfId="0" applyFont="1" applyFill="1" applyBorder="1" applyAlignment="1"/>
    <xf numFmtId="167" fontId="3" fillId="2" borderId="0" xfId="0" applyNumberFormat="1" applyFont="1" applyProtection="1">
      <protection locked="0"/>
    </xf>
    <xf numFmtId="167" fontId="3" fillId="4" borderId="19" xfId="0" applyNumberFormat="1" applyFont="1" applyFill="1" applyBorder="1"/>
    <xf numFmtId="1" fontId="0" fillId="2" borderId="0" xfId="0" applyNumberFormat="1"/>
    <xf numFmtId="14" fontId="0" fillId="2" borderId="0" xfId="0" applyNumberFormat="1"/>
    <xf numFmtId="49" fontId="0" fillId="2" borderId="0" xfId="0" applyNumberFormat="1"/>
    <xf numFmtId="167" fontId="3" fillId="4" borderId="19" xfId="0" quotePrefix="1" applyNumberFormat="1" applyFont="1" applyFill="1" applyBorder="1" applyAlignment="1">
      <alignment horizontal="right"/>
    </xf>
    <xf numFmtId="0" fontId="13" fillId="4" borderId="0" xfId="0" applyFont="1" applyFill="1" applyBorder="1" applyAlignment="1"/>
    <xf numFmtId="0" fontId="21" fillId="2" borderId="0" xfId="0" applyFont="1"/>
    <xf numFmtId="0" fontId="21" fillId="3" borderId="1" xfId="0" applyFont="1" applyFill="1" applyBorder="1"/>
    <xf numFmtId="0" fontId="21" fillId="3" borderId="2" xfId="0" applyFont="1" applyFill="1" applyBorder="1"/>
    <xf numFmtId="0" fontId="21" fillId="3" borderId="3" xfId="0" applyFont="1" applyFill="1" applyBorder="1"/>
    <xf numFmtId="0" fontId="21" fillId="3" borderId="4" xfId="0" applyFont="1" applyFill="1" applyBorder="1"/>
    <xf numFmtId="0" fontId="21" fillId="3" borderId="0" xfId="0" applyFont="1" applyFill="1" applyBorder="1"/>
    <xf numFmtId="0" fontId="21" fillId="3" borderId="5" xfId="0" applyFont="1" applyFill="1" applyBorder="1"/>
    <xf numFmtId="0" fontId="21" fillId="3" borderId="0" xfId="0" applyFont="1" applyFill="1"/>
    <xf numFmtId="0" fontId="22" fillId="3" borderId="0" xfId="0" applyFont="1" applyFill="1" applyBorder="1"/>
    <xf numFmtId="0" fontId="22" fillId="3" borderId="0" xfId="0" applyFont="1" applyFill="1" applyBorder="1" applyAlignment="1">
      <alignment horizontal="right"/>
    </xf>
    <xf numFmtId="1" fontId="23" fillId="3" borderId="0" xfId="0" applyNumberFormat="1" applyFont="1" applyFill="1" applyBorder="1"/>
    <xf numFmtId="0" fontId="21" fillId="3" borderId="6" xfId="0" applyFont="1" applyFill="1" applyBorder="1"/>
    <xf numFmtId="0" fontId="24" fillId="3" borderId="6" xfId="0" applyFont="1" applyFill="1" applyBorder="1"/>
    <xf numFmtId="49" fontId="21" fillId="3" borderId="7" xfId="0" applyNumberFormat="1" applyFont="1" applyFill="1" applyBorder="1" applyAlignment="1">
      <alignment horizontal="left"/>
    </xf>
    <xf numFmtId="49" fontId="21" fillId="3" borderId="0" xfId="0" applyNumberFormat="1" applyFont="1" applyFill="1" applyBorder="1" applyAlignment="1">
      <alignment horizontal="left"/>
    </xf>
    <xf numFmtId="0" fontId="21" fillId="3" borderId="0" xfId="0" applyFont="1" applyFill="1" applyBorder="1" applyAlignment="1">
      <alignment horizontal="left"/>
    </xf>
    <xf numFmtId="0" fontId="22" fillId="3" borderId="8" xfId="0" applyFont="1" applyFill="1" applyBorder="1" applyAlignment="1">
      <alignment horizontal="center"/>
    </xf>
    <xf numFmtId="0" fontId="22" fillId="3" borderId="8" xfId="0" applyFont="1" applyFill="1" applyBorder="1" applyAlignment="1">
      <alignment horizontal="centerContinuous"/>
    </xf>
    <xf numFmtId="0" fontId="21" fillId="3" borderId="9" xfId="0" applyNumberFormat="1" applyFont="1" applyFill="1" applyBorder="1" applyAlignment="1">
      <alignment horizontal="center" vertical="top"/>
    </xf>
    <xf numFmtId="0" fontId="21" fillId="3" borderId="9" xfId="0" applyFont="1" applyFill="1" applyBorder="1" applyAlignment="1">
      <alignment horizontal="center" vertical="top"/>
    </xf>
    <xf numFmtId="171" fontId="21" fillId="5" borderId="9" xfId="4" applyNumberFormat="1" applyFont="1" applyFill="1" applyBorder="1" applyAlignment="1">
      <alignment vertical="top"/>
    </xf>
    <xf numFmtId="49" fontId="21" fillId="3" borderId="28" xfId="0" applyNumberFormat="1" applyFont="1" applyFill="1" applyBorder="1" applyAlignment="1"/>
    <xf numFmtId="0" fontId="27" fillId="3" borderId="0" xfId="0" applyFont="1" applyFill="1" applyAlignment="1"/>
    <xf numFmtId="0" fontId="27" fillId="3" borderId="29" xfId="0" applyFont="1" applyFill="1" applyBorder="1" applyAlignment="1"/>
    <xf numFmtId="171" fontId="28" fillId="3" borderId="28" xfId="4" applyNumberFormat="1" applyFont="1" applyFill="1" applyBorder="1" applyAlignment="1"/>
    <xf numFmtId="8" fontId="27" fillId="3" borderId="0" xfId="0" applyNumberFormat="1" applyFont="1" applyFill="1" applyAlignment="1"/>
    <xf numFmtId="3" fontId="21" fillId="3" borderId="9" xfId="0" applyNumberFormat="1" applyFont="1" applyFill="1" applyBorder="1" applyAlignment="1">
      <alignment horizontal="center" vertical="top"/>
    </xf>
    <xf numFmtId="0" fontId="21" fillId="3" borderId="10" xfId="0" applyNumberFormat="1" applyFont="1" applyFill="1" applyBorder="1" applyAlignment="1">
      <alignment horizontal="center" vertical="top"/>
    </xf>
    <xf numFmtId="0" fontId="21" fillId="3" borderId="10" xfId="0" applyFont="1" applyFill="1" applyBorder="1" applyAlignment="1">
      <alignment horizontal="center" vertical="top"/>
    </xf>
    <xf numFmtId="171" fontId="21" fillId="5" borderId="10" xfId="4" applyNumberFormat="1" applyFont="1" applyFill="1" applyBorder="1" applyAlignment="1">
      <alignment vertical="top"/>
    </xf>
    <xf numFmtId="0" fontId="21" fillId="0" borderId="0" xfId="0" quotePrefix="1" applyFont="1" applyFill="1" applyBorder="1" applyAlignment="1">
      <alignment horizontal="right"/>
    </xf>
    <xf numFmtId="0" fontId="21" fillId="0" borderId="0" xfId="0" applyFont="1" applyFill="1" applyBorder="1"/>
    <xf numFmtId="0" fontId="22" fillId="3" borderId="0" xfId="0" quotePrefix="1" applyFont="1" applyFill="1" applyBorder="1" applyAlignment="1">
      <alignment horizontal="right"/>
    </xf>
    <xf numFmtId="171" fontId="21" fillId="5" borderId="27" xfId="4" applyNumberFormat="1" applyFont="1" applyFill="1" applyBorder="1"/>
    <xf numFmtId="0" fontId="21" fillId="3" borderId="0" xfId="0" quotePrefix="1" applyFont="1" applyFill="1" applyBorder="1" applyAlignment="1">
      <alignment horizontal="right"/>
    </xf>
    <xf numFmtId="0" fontId="21" fillId="3" borderId="0" xfId="0" applyFont="1" applyFill="1" applyBorder="1" applyAlignment="1">
      <alignment horizontal="right"/>
    </xf>
    <xf numFmtId="165" fontId="21" fillId="3" borderId="0" xfId="4" applyNumberFormat="1" applyFont="1" applyFill="1" applyBorder="1"/>
    <xf numFmtId="167" fontId="21" fillId="3" borderId="0" xfId="0" applyNumberFormat="1" applyFont="1" applyFill="1"/>
    <xf numFmtId="0" fontId="31" fillId="3" borderId="0" xfId="0" applyFont="1" applyFill="1" applyBorder="1" applyAlignment="1">
      <alignment horizontal="center"/>
    </xf>
    <xf numFmtId="0" fontId="21" fillId="3" borderId="0" xfId="0" applyFont="1" applyFill="1" applyAlignment="1">
      <alignment horizontal="right"/>
    </xf>
    <xf numFmtId="0" fontId="21" fillId="3" borderId="0" xfId="0" quotePrefix="1" applyFont="1" applyFill="1" applyBorder="1" applyAlignment="1">
      <alignment horizontal="centerContinuous"/>
    </xf>
    <xf numFmtId="9" fontId="21" fillId="3" borderId="0" xfId="6" applyFont="1" applyFill="1" applyBorder="1" applyAlignment="1">
      <alignment horizontal="centerContinuous"/>
    </xf>
    <xf numFmtId="0" fontId="21" fillId="3" borderId="0" xfId="0" applyNumberFormat="1" applyFont="1" applyFill="1" applyBorder="1"/>
    <xf numFmtId="0" fontId="21" fillId="3" borderId="0" xfId="0" quotePrefix="1" applyFont="1" applyFill="1"/>
    <xf numFmtId="0" fontId="21" fillId="3" borderId="0" xfId="0" quotePrefix="1" applyFont="1" applyFill="1" applyBorder="1" applyAlignment="1"/>
    <xf numFmtId="49" fontId="21" fillId="3" borderId="0" xfId="0" applyNumberFormat="1" applyFont="1" applyFill="1" applyBorder="1" applyAlignment="1"/>
    <xf numFmtId="164" fontId="21" fillId="3" borderId="0" xfId="0" applyNumberFormat="1" applyFont="1" applyFill="1" applyBorder="1"/>
    <xf numFmtId="0" fontId="21" fillId="3" borderId="0" xfId="0" applyFont="1" applyFill="1" applyAlignment="1">
      <alignment horizontal="centerContinuous"/>
    </xf>
    <xf numFmtId="0" fontId="21" fillId="3" borderId="0" xfId="0" applyFont="1" applyFill="1" applyBorder="1" applyAlignment="1"/>
    <xf numFmtId="0" fontId="21" fillId="3" borderId="0" xfId="0" applyFont="1" applyFill="1" applyAlignment="1"/>
    <xf numFmtId="49" fontId="21" fillId="3" borderId="0" xfId="0" applyNumberFormat="1" applyFont="1" applyFill="1" applyBorder="1" applyAlignment="1">
      <alignment horizontal="centerContinuous"/>
    </xf>
    <xf numFmtId="0" fontId="21" fillId="3" borderId="0" xfId="0" applyFont="1" applyFill="1" applyBorder="1" applyAlignment="1">
      <alignment horizontal="centerContinuous"/>
    </xf>
    <xf numFmtId="0" fontId="21" fillId="3" borderId="11" xfId="0" applyFont="1" applyFill="1" applyBorder="1"/>
    <xf numFmtId="0" fontId="21" fillId="3" borderId="12" xfId="0" applyFont="1" applyFill="1" applyBorder="1"/>
    <xf numFmtId="0" fontId="21" fillId="3" borderId="13" xfId="0" applyFont="1" applyFill="1" applyBorder="1"/>
    <xf numFmtId="0" fontId="21" fillId="2" borderId="0" xfId="0" quotePrefix="1" applyFont="1"/>
    <xf numFmtId="49" fontId="3" fillId="3" borderId="28" xfId="0" applyNumberFormat="1" applyFont="1" applyFill="1" applyBorder="1" applyAlignment="1"/>
    <xf numFmtId="0" fontId="4" fillId="3" borderId="25" xfId="0" applyFont="1" applyFill="1" applyBorder="1" applyAlignment="1"/>
    <xf numFmtId="0" fontId="0" fillId="2" borderId="25" xfId="0" applyBorder="1" applyAlignment="1"/>
    <xf numFmtId="49" fontId="3" fillId="3" borderId="30" xfId="0" applyNumberFormat="1" applyFont="1" applyFill="1" applyBorder="1" applyAlignment="1"/>
    <xf numFmtId="0" fontId="0" fillId="2" borderId="31" xfId="0" applyBorder="1" applyAlignment="1"/>
    <xf numFmtId="0" fontId="3" fillId="5" borderId="30" xfId="0" applyNumberFormat="1" applyFont="1" applyFill="1" applyBorder="1" applyAlignment="1"/>
    <xf numFmtId="0" fontId="7" fillId="3" borderId="32" xfId="0" applyFont="1" applyFill="1" applyBorder="1" applyAlignment="1"/>
    <xf numFmtId="0" fontId="0" fillId="2" borderId="32" xfId="0" applyBorder="1" applyAlignment="1"/>
    <xf numFmtId="0" fontId="21" fillId="3" borderId="0" xfId="0" applyFont="1" applyFill="1" applyBorder="1" applyAlignment="1">
      <alignment wrapText="1"/>
    </xf>
    <xf numFmtId="49" fontId="3" fillId="3" borderId="28" xfId="0" applyNumberFormat="1" applyFont="1" applyFill="1" applyBorder="1" applyAlignment="1"/>
    <xf numFmtId="0" fontId="26" fillId="2" borderId="0" xfId="0" applyFont="1" applyAlignment="1"/>
    <xf numFmtId="0" fontId="26" fillId="2" borderId="29" xfId="0" applyFont="1" applyBorder="1" applyAlignment="1"/>
    <xf numFmtId="171" fontId="21" fillId="3" borderId="28" xfId="4" applyNumberFormat="1" applyFont="1" applyFill="1" applyBorder="1" applyAlignment="1"/>
    <xf numFmtId="49" fontId="21" fillId="3" borderId="28" xfId="0" applyNumberFormat="1" applyFont="1" applyFill="1" applyBorder="1" applyAlignment="1"/>
    <xf numFmtId="49" fontId="21" fillId="3" borderId="36" xfId="0" applyNumberFormat="1" applyFont="1" applyFill="1" applyBorder="1" applyAlignment="1"/>
    <xf numFmtId="0" fontId="21" fillId="3" borderId="36" xfId="0" applyFont="1" applyFill="1" applyBorder="1" applyAlignment="1"/>
    <xf numFmtId="0" fontId="3" fillId="3" borderId="0" xfId="0" applyFont="1" applyFill="1" applyBorder="1" applyAlignment="1">
      <alignment wrapText="1"/>
    </xf>
    <xf numFmtId="14" fontId="21" fillId="3" borderId="0" xfId="0" applyNumberFormat="1" applyFont="1" applyFill="1" applyAlignment="1">
      <alignment horizontal="center"/>
    </xf>
    <xf numFmtId="0" fontId="26" fillId="2" borderId="0" xfId="0" applyFont="1" applyAlignment="1">
      <alignment horizontal="center"/>
    </xf>
    <xf numFmtId="171" fontId="21" fillId="3" borderId="33" xfId="4" applyNumberFormat="1" applyFont="1" applyFill="1" applyBorder="1" applyAlignment="1"/>
    <xf numFmtId="0" fontId="26" fillId="2" borderId="34" xfId="0" applyFont="1" applyBorder="1" applyAlignment="1"/>
    <xf numFmtId="0" fontId="26" fillId="2" borderId="35" xfId="0" applyFont="1" applyBorder="1" applyAlignment="1"/>
    <xf numFmtId="14" fontId="31" fillId="3" borderId="7" xfId="0" applyNumberFormat="1" applyFont="1" applyFill="1" applyBorder="1" applyAlignment="1"/>
    <xf numFmtId="49" fontId="3" fillId="3" borderId="36" xfId="0" applyNumberFormat="1" applyFont="1" applyFill="1" applyBorder="1" applyAlignment="1"/>
    <xf numFmtId="17" fontId="21" fillId="3" borderId="36" xfId="0" applyNumberFormat="1" applyFont="1" applyFill="1" applyBorder="1" applyAlignment="1"/>
    <xf numFmtId="49" fontId="29" fillId="3" borderId="28" xfId="0" applyNumberFormat="1" applyFont="1" applyFill="1" applyBorder="1" applyAlignment="1"/>
    <xf numFmtId="0" fontId="22" fillId="3" borderId="40" xfId="0" applyFont="1" applyFill="1" applyBorder="1" applyAlignment="1">
      <alignment horizontal="center"/>
    </xf>
    <xf numFmtId="0" fontId="26" fillId="2" borderId="41" xfId="0" applyFont="1" applyBorder="1" applyAlignment="1">
      <alignment horizontal="center"/>
    </xf>
    <xf numFmtId="0" fontId="26" fillId="2" borderId="42" xfId="0" applyFont="1" applyBorder="1" applyAlignment="1">
      <alignment horizontal="center"/>
    </xf>
    <xf numFmtId="0" fontId="30" fillId="2" borderId="0" xfId="0" applyFont="1" applyAlignment="1"/>
    <xf numFmtId="0" fontId="30" fillId="2" borderId="29" xfId="0" applyFont="1" applyBorder="1" applyAlignment="1"/>
    <xf numFmtId="49" fontId="21" fillId="3" borderId="7" xfId="0" applyNumberFormat="1" applyFont="1" applyFill="1" applyBorder="1" applyAlignment="1"/>
    <xf numFmtId="49" fontId="25" fillId="3" borderId="7" xfId="3" applyNumberFormat="1" applyFont="1" applyFill="1" applyBorder="1" applyAlignment="1" applyProtection="1"/>
    <xf numFmtId="171" fontId="21" fillId="3" borderId="37" xfId="4" applyNumberFormat="1" applyFont="1" applyFill="1" applyBorder="1" applyAlignment="1"/>
    <xf numFmtId="0" fontId="26" fillId="2" borderId="38" xfId="0" applyFont="1" applyBorder="1" applyAlignment="1"/>
    <xf numFmtId="0" fontId="26" fillId="2" borderId="39" xfId="0" applyFont="1" applyBorder="1" applyAlignment="1"/>
    <xf numFmtId="49" fontId="21" fillId="3" borderId="37" xfId="0" applyNumberFormat="1" applyFont="1" applyFill="1" applyBorder="1" applyAlignment="1"/>
    <xf numFmtId="49" fontId="25" fillId="3" borderId="36" xfId="3" applyNumberFormat="1" applyFont="1" applyFill="1" applyBorder="1" applyAlignment="1" applyProtection="1"/>
    <xf numFmtId="49" fontId="29" fillId="3" borderId="33" xfId="0" applyNumberFormat="1" applyFont="1" applyFill="1" applyBorder="1" applyAlignment="1"/>
    <xf numFmtId="0" fontId="30" fillId="2" borderId="34" xfId="0" applyFont="1" applyBorder="1" applyAlignment="1"/>
    <xf numFmtId="0" fontId="30" fillId="2" borderId="35" xfId="0" applyFont="1" applyBorder="1" applyAlignment="1"/>
  </cellXfs>
  <cellStyles count="10">
    <cellStyle name="Dezimal [0]_Compiling Utility Macros" xfId="1" xr:uid="{00000000-0005-0000-0000-000000000000}"/>
    <cellStyle name="Dezimal_Compiling Utility Macros" xfId="2" xr:uid="{00000000-0005-0000-0000-000001000000}"/>
    <cellStyle name="Hypertextový odkaz" xfId="3" builtinId="8"/>
    <cellStyle name="Měna" xfId="4" builtinId="4"/>
    <cellStyle name="Normal_Int. Data Table" xfId="5" xr:uid="{00000000-0005-0000-0000-000004000000}"/>
    <cellStyle name="Normální" xfId="0" builtinId="0"/>
    <cellStyle name="Procenta" xfId="6" builtinId="5"/>
    <cellStyle name="Standard_Anpassen der Amortisation" xfId="7" xr:uid="{00000000-0005-0000-0000-000007000000}"/>
    <cellStyle name="Währung [0]_Compiling Utility Macros" xfId="8" xr:uid="{00000000-0005-0000-0000-000008000000}"/>
    <cellStyle name="Währung_Compiling Utility Macros" xfId="9" xr:uid="{00000000-0005-0000-0000-000009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2.xml"/><Relationship Id="rId7" Type="http://schemas.openxmlformats.org/officeDocument/2006/relationships/theme" Target="theme/theme1.xml"/><Relationship Id="rId12" Type="http://schemas.microsoft.com/office/2006/relationships/attachedToolbars" Target="attachedToolbars.bin"/><Relationship Id="rId2" Type="http://schemas.openxmlformats.org/officeDocument/2006/relationships/worksheet" Target="worksheets/sheet1.xml"/><Relationship Id="rId1" Type="http://schemas.microsoft.com/office/2006/relationships/xlIntlMacrosheet" Target="macrosheets/intlsheet1.xml"/><Relationship Id="rId6" Type="http://schemas.openxmlformats.org/officeDocument/2006/relationships/worksheet" Target="worksheets/sheet3.xml"/><Relationship Id="rId11" Type="http://schemas.microsoft.com/office/2006/relationships/vbaProject" Target="vbaProject.bin"/><Relationship Id="rId5" Type="http://schemas.openxmlformats.org/officeDocument/2006/relationships/dialogsheet" Target="dialogsheets/sheet2.xml"/><Relationship Id="rId10" Type="http://schemas.openxmlformats.org/officeDocument/2006/relationships/calcChain" Target="calcChain.xml"/><Relationship Id="rId4" Type="http://schemas.openxmlformats.org/officeDocument/2006/relationships/dialogsheet" Target="dialogsheets/sheet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dflt1" lockText="1"/>
</file>

<file path=xl/ctrlProps/ctrlProp10.xml><?xml version="1.0" encoding="utf-8"?>
<formControlPr xmlns="http://schemas.microsoft.com/office/spreadsheetml/2009/9/main" objectType="CheckBox" fmlaLink="_SHR1"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data83" fmlaRange="CC" noThreeD="1" sel="0" val="0"/>
</file>

<file path=xl/ctrlProps/ctrlProp13.xml><?xml version="1.0" encoding="utf-8"?>
<formControlPr xmlns="http://schemas.microsoft.com/office/spreadsheetml/2009/9/main" objectType="Radio" firstButton="1" fmlaLink="data84"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Radio" checked="Checked" lockText="1"/>
</file>

<file path=xl/ctrlProps/ctrlProp16.xml><?xml version="1.0" encoding="utf-8"?>
<formControlPr xmlns="http://schemas.microsoft.com/office/spreadsheetml/2009/9/main" objectType="Radio" lockText="1"/>
</file>

<file path=xl/dialogsheets/_rels/sheet1.xml.rels><?xml version="1.0" encoding="UTF-8" standalone="yes"?>
<Relationships xmlns="http://schemas.openxmlformats.org/package/2006/relationships"><Relationship Id="rId1" Type="http://schemas.openxmlformats.org/officeDocument/2006/relationships/vmlDrawing" Target="../drawings/vmlDrawing3.vml"/></Relationships>
</file>

<file path=xl/dialogsheets/_rels/sheet2.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400-000000000000}">
  <sheetViews>
    <sheetView showRowColHeaders="0" showZeros="0" showOutlineSymbols="0" topLeftCell="F1" workbookViewId="0"/>
  </sheetViews>
  <sheetFormatPr defaultColWidth="1" defaultRowHeight="5.25" customHeight="1" x14ac:dyDescent="0.25"/>
  <sheetProtection sheet="1"/>
  <printOptions gridLines="1" gridLinesSet="0"/>
  <pageMargins left="0.78740157499999996" right="0.78740157499999996" top="0.984251969" bottom="0.984251969" header="0.5" footer="0.5"/>
  <headerFooter alignWithMargins="0">
    <oddHeader>&amp;A</oddHeader>
    <oddFooter>Page &amp;P</oddFooter>
  </headerFooter>
  <legacyDrawing r:id="rId1"/>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500-000000000000}">
  <sheetViews>
    <sheetView showRowColHeaders="0" showZeros="0" showOutlineSymbols="0" workbookViewId="0"/>
  </sheetViews>
  <sheetFormatPr defaultColWidth="1" defaultRowHeight="5.25" customHeight="1" x14ac:dyDescent="0.25"/>
  <sheetProtection sheet="1"/>
  <printOptions gridLines="1" gridLinesSet="0"/>
  <pageMargins left="0.78740157499999996" right="0.78740157499999996" top="0.984251969" bottom="0.984251969" header="0.5" footer="0.5"/>
  <pageSetup orientation="portrait" horizontalDpi="360" verticalDpi="360" r:id="rId1"/>
  <headerFooter alignWithMargins="0">
    <oddHeader>&amp;A</oddHeader>
    <oddFooter>Page &amp;P</oddFooter>
  </headerFooter>
  <legacyDrawing r:id="rId2"/>
</dialog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952500</xdr:colOff>
      <xdr:row>0</xdr:row>
      <xdr:rowOff>0</xdr:rowOff>
    </xdr:from>
    <xdr:to>
      <xdr:col>7</xdr:col>
      <xdr:colOff>1304925</xdr:colOff>
      <xdr:row>0</xdr:row>
      <xdr:rowOff>0</xdr:rowOff>
    </xdr:to>
    <xdr:sp macro="" textlink="">
      <xdr:nvSpPr>
        <xdr:cNvPr id="1030" name="text 6">
          <a:extLst>
            <a:ext uri="{FF2B5EF4-FFF2-40B4-BE49-F238E27FC236}">
              <a16:creationId xmlns:a16="http://schemas.microsoft.com/office/drawing/2014/main" id="{00000000-0008-0000-0100-000006040000}"/>
            </a:ext>
          </a:extLst>
        </xdr:cNvPr>
        <xdr:cNvSpPr txBox="1">
          <a:spLocks noChangeArrowheads="1"/>
        </xdr:cNvSpPr>
      </xdr:nvSpPr>
      <xdr:spPr bwMode="auto">
        <a:xfrm>
          <a:off x="2600325" y="0"/>
          <a:ext cx="3648075" cy="0"/>
        </a:xfrm>
        <a:prstGeom prst="rect">
          <a:avLst/>
        </a:prstGeom>
        <a:solidFill>
          <a:srgbClr val="FFFFFF"/>
        </a:solidFill>
        <a:ln w="9525">
          <a:solidFill>
            <a:srgbClr val="000000"/>
          </a:solidFill>
          <a:miter lim="800000"/>
          <a:headEnd/>
          <a:tailEnd/>
        </a:ln>
      </xdr:spPr>
      <xdr:txBody>
        <a:bodyPr vertOverflow="clip" wrap="square" lIns="54864" tIns="41148" rIns="0" bIns="0" anchor="t" upright="1"/>
        <a:lstStyle/>
        <a:p>
          <a:pPr algn="l" rtl="0">
            <a:defRPr sz="1000"/>
          </a:pPr>
          <a:r>
            <a:rPr lang="cs-CZ" sz="2400" b="1" i="0" u="none" strike="noStrike" baseline="0">
              <a:solidFill>
                <a:srgbClr val="000000"/>
              </a:solidFill>
              <a:latin typeface="Arial"/>
              <a:cs typeface="Arial"/>
            </a:rPr>
            <a:t>COMPANY NAME</a:t>
          </a:r>
          <a:endParaRPr lang="cs-CZ" sz="1800" b="1" i="0" u="none" strike="noStrike" baseline="0">
            <a:solidFill>
              <a:srgbClr val="000000"/>
            </a:solidFill>
            <a:latin typeface="Arial"/>
            <a:cs typeface="Arial"/>
          </a:endParaRPr>
        </a:p>
        <a:p>
          <a:pPr algn="l" rtl="0">
            <a:defRPr sz="1000"/>
          </a:pPr>
          <a:r>
            <a:rPr lang="cs-CZ" sz="1000" b="0" i="0" u="none" strike="noStrike" baseline="0">
              <a:solidFill>
                <a:srgbClr val="000000"/>
              </a:solidFill>
              <a:latin typeface="Arial"/>
              <a:cs typeface="Arial"/>
            </a:rPr>
            <a:t>Address, City State, Zip Code</a:t>
          </a:r>
        </a:p>
        <a:p>
          <a:pPr algn="l" rtl="0">
            <a:defRPr sz="1000"/>
          </a:pPr>
          <a:r>
            <a:rPr lang="cs-CZ" sz="1000" b="0" i="0" u="none" strike="noStrike" baseline="0">
              <a:solidFill>
                <a:srgbClr val="000000"/>
              </a:solidFill>
              <a:latin typeface="Arial"/>
              <a:cs typeface="Arial"/>
            </a:rPr>
            <a:t>Phone, Fax</a:t>
          </a:r>
        </a:p>
      </xdr:txBody>
    </xdr:sp>
    <xdr:clientData/>
  </xdr:twoCellAnchor>
  <xdr:twoCellAnchor>
    <xdr:from>
      <xdr:col>1</xdr:col>
      <xdr:colOff>161925</xdr:colOff>
      <xdr:row>0</xdr:row>
      <xdr:rowOff>0</xdr:rowOff>
    </xdr:from>
    <xdr:to>
      <xdr:col>7</xdr:col>
      <xdr:colOff>161925</xdr:colOff>
      <xdr:row>0</xdr:row>
      <xdr:rowOff>0</xdr:rowOff>
    </xdr:to>
    <xdr:sp macro="" textlink="">
      <xdr:nvSpPr>
        <xdr:cNvPr id="1034" name="text 10">
          <a:extLst>
            <a:ext uri="{FF2B5EF4-FFF2-40B4-BE49-F238E27FC236}">
              <a16:creationId xmlns:a16="http://schemas.microsoft.com/office/drawing/2014/main" id="{00000000-0008-0000-0100-00000A040000}"/>
            </a:ext>
          </a:extLst>
        </xdr:cNvPr>
        <xdr:cNvSpPr txBox="1">
          <a:spLocks noChangeArrowheads="1"/>
        </xdr:cNvSpPr>
      </xdr:nvSpPr>
      <xdr:spPr bwMode="auto">
        <a:xfrm>
          <a:off x="114300" y="0"/>
          <a:ext cx="4991100" cy="0"/>
        </a:xfrm>
        <a:prstGeom prst="rect">
          <a:avLst/>
        </a:prstGeom>
        <a:solidFill>
          <a:srgbClr val="69FFFF"/>
        </a:solidFill>
        <a:ln w="1">
          <a:noFill/>
          <a:miter lim="800000"/>
          <a:headEnd/>
          <a:tailEnd/>
        </a:ln>
      </xdr:spPr>
      <xdr:txBody>
        <a:bodyPr vertOverflow="clip" wrap="square" lIns="45720" tIns="41148" rIns="45720" bIns="0" anchor="t" upright="1"/>
        <a:lstStyle/>
        <a:p>
          <a:pPr algn="ctr" rtl="0">
            <a:defRPr sz="1000"/>
          </a:pPr>
          <a:r>
            <a:rPr lang="cs-CZ" sz="2200" b="1" i="1" u="none" strike="noStrike" baseline="0">
              <a:solidFill>
                <a:srgbClr val="000000"/>
              </a:solidFill>
              <a:latin typeface="Arial"/>
              <a:cs typeface="Arial"/>
            </a:rPr>
            <a:t>Customize Your Purchase Order</a:t>
          </a:r>
        </a:p>
      </xdr:txBody>
    </xdr:sp>
    <xdr:clientData/>
  </xdr:twoCellAnchor>
  <xdr:twoCellAnchor>
    <xdr:from>
      <xdr:col>3</xdr:col>
      <xdr:colOff>95250</xdr:colOff>
      <xdr:row>0</xdr:row>
      <xdr:rowOff>0</xdr:rowOff>
    </xdr:from>
    <xdr:to>
      <xdr:col>6</xdr:col>
      <xdr:colOff>590550</xdr:colOff>
      <xdr:row>0</xdr:row>
      <xdr:rowOff>0</xdr:rowOff>
    </xdr:to>
    <xdr:sp macro="" textlink="">
      <xdr:nvSpPr>
        <xdr:cNvPr id="1042" name="text 18">
          <a:extLst>
            <a:ext uri="{FF2B5EF4-FFF2-40B4-BE49-F238E27FC236}">
              <a16:creationId xmlns:a16="http://schemas.microsoft.com/office/drawing/2014/main" id="{00000000-0008-0000-0100-000012040000}"/>
            </a:ext>
          </a:extLst>
        </xdr:cNvPr>
        <xdr:cNvSpPr txBox="1">
          <a:spLocks noChangeArrowheads="1"/>
        </xdr:cNvSpPr>
      </xdr:nvSpPr>
      <xdr:spPr bwMode="auto">
        <a:xfrm>
          <a:off x="457200" y="0"/>
          <a:ext cx="3829050" cy="0"/>
        </a:xfrm>
        <a:prstGeom prst="rect">
          <a:avLst/>
        </a:prstGeom>
        <a:solidFill>
          <a:srgbClr val="69FFFF"/>
        </a:solidFill>
        <a:ln w="1">
          <a:noFill/>
          <a:miter lim="800000"/>
          <a:headEnd/>
          <a:tailEnd/>
        </a:ln>
      </xdr:spPr>
      <xdr:txBody>
        <a:bodyPr vertOverflow="clip" wrap="square" lIns="45720" tIns="41148" rIns="45720" bIns="0" anchor="t" upright="1"/>
        <a:lstStyle/>
        <a:p>
          <a:pPr algn="ctr" rtl="0">
            <a:defRPr sz="1000"/>
          </a:pPr>
          <a:r>
            <a:rPr lang="cs-CZ" sz="2200" b="1" i="1" u="none" strike="noStrike" baseline="0">
              <a:solidFill>
                <a:srgbClr val="000000"/>
              </a:solidFill>
              <a:latin typeface="Arial"/>
              <a:cs typeface="Arial"/>
            </a:rPr>
            <a:t>Customize Your Invoice</a:t>
          </a:r>
        </a:p>
      </xdr:txBody>
    </xdr:sp>
    <xdr:clientData/>
  </xdr:twoCellAnchor>
  <xdr:twoCellAnchor>
    <xdr:from>
      <xdr:col>5</xdr:col>
      <xdr:colOff>628650</xdr:colOff>
      <xdr:row>32</xdr:row>
      <xdr:rowOff>76200</xdr:rowOff>
    </xdr:from>
    <xdr:to>
      <xdr:col>7</xdr:col>
      <xdr:colOff>971550</xdr:colOff>
      <xdr:row>37</xdr:row>
      <xdr:rowOff>104775</xdr:rowOff>
    </xdr:to>
    <xdr:sp macro="[0]!Nada" textlink="">
      <xdr:nvSpPr>
        <xdr:cNvPr id="1048" name="LT">
          <a:extLst>
            <a:ext uri="{FF2B5EF4-FFF2-40B4-BE49-F238E27FC236}">
              <a16:creationId xmlns:a16="http://schemas.microsoft.com/office/drawing/2014/main" id="{00000000-0008-0000-0100-000018040000}"/>
            </a:ext>
          </a:extLst>
        </xdr:cNvPr>
        <xdr:cNvSpPr txBox="1">
          <a:spLocks noChangeArrowheads="1"/>
        </xdr:cNvSpPr>
      </xdr:nvSpPr>
      <xdr:spPr bwMode="auto">
        <a:xfrm>
          <a:off x="2276475" y="5143500"/>
          <a:ext cx="3638550" cy="838200"/>
        </a:xfrm>
        <a:prstGeom prst="rect">
          <a:avLst/>
        </a:prstGeom>
        <a:solidFill>
          <a:srgbClr val="FFFFFF"/>
        </a:solidFill>
        <a:ln w="1">
          <a:solidFill>
            <a:srgbClr val="000000"/>
          </a:solidFill>
          <a:miter lim="800000"/>
          <a:headEnd/>
          <a:tailEnd/>
        </a:ln>
      </xdr:spPr>
      <xdr:txBody>
        <a:bodyPr vertOverflow="clip" wrap="square" lIns="36576" tIns="36576" rIns="0" bIns="0" anchor="t" upright="1"/>
        <a:lstStyle/>
        <a:p>
          <a:pPr algn="l" rtl="0">
            <a:defRPr sz="1000"/>
          </a:pPr>
          <a:r>
            <a:rPr lang="cs-CZ" sz="1800" b="0" i="0" u="none" strike="noStrike" baseline="0">
              <a:solidFill>
                <a:srgbClr val="000000"/>
              </a:solidFill>
              <a:latin typeface="Times New Roman CE"/>
              <a:cs typeface="Times New Roman CE"/>
            </a:rPr>
            <a:t>Domov pro seniory Severní Terasa, PO</a:t>
          </a:r>
          <a:endParaRPr lang="cs-CZ" sz="800" b="0" i="0" u="none" strike="noStrike" baseline="0">
            <a:solidFill>
              <a:srgbClr val="000000"/>
            </a:solidFill>
            <a:latin typeface="Times New Roman CE"/>
            <a:cs typeface="Times New Roman CE"/>
          </a:endParaRPr>
        </a:p>
        <a:p>
          <a:pPr algn="l" rtl="0">
            <a:defRPr sz="1000"/>
          </a:pPr>
          <a:r>
            <a:rPr lang="cs-CZ" sz="800" b="0" i="0" u="none" strike="noStrike" baseline="0">
              <a:solidFill>
                <a:srgbClr val="000000"/>
              </a:solidFill>
              <a:latin typeface="Times New Roman CE"/>
              <a:cs typeface="Times New Roman CE"/>
            </a:rPr>
            <a:t>V Klidu 3133/12</a:t>
          </a:r>
        </a:p>
        <a:p>
          <a:pPr algn="l" rtl="0">
            <a:defRPr sz="1000"/>
          </a:pPr>
          <a:r>
            <a:rPr lang="cs-CZ" sz="800" b="0" i="0" u="none" strike="noStrike" baseline="0">
              <a:solidFill>
                <a:srgbClr val="000000"/>
              </a:solidFill>
              <a:latin typeface="Times New Roman CE"/>
              <a:cs typeface="Times New Roman CE"/>
            </a:rPr>
            <a:t>400 11  Ústí nad Labem</a:t>
          </a:r>
        </a:p>
        <a:p>
          <a:pPr algn="l" rtl="0">
            <a:defRPr sz="1000"/>
          </a:pPr>
          <a:r>
            <a:rPr lang="cs-CZ" sz="800" b="0" i="0" u="none" strike="noStrike" baseline="0">
              <a:solidFill>
                <a:srgbClr val="000000"/>
              </a:solidFill>
              <a:latin typeface="Times New Roman CE"/>
              <a:cs typeface="Times New Roman CE"/>
            </a:rPr>
            <a:t>tel. 472775577  fax 472776089</a:t>
          </a:r>
        </a:p>
      </xdr:txBody>
    </xdr:sp>
    <xdr:clientData/>
  </xdr:twoCellAnchor>
  <xdr:twoCellAnchor editAs="oneCell">
    <xdr:from>
      <xdr:col>3</xdr:col>
      <xdr:colOff>485775</xdr:colOff>
      <xdr:row>32</xdr:row>
      <xdr:rowOff>85725</xdr:rowOff>
    </xdr:from>
    <xdr:to>
      <xdr:col>5</xdr:col>
      <xdr:colOff>28575</xdr:colOff>
      <xdr:row>37</xdr:row>
      <xdr:rowOff>142875</xdr:rowOff>
    </xdr:to>
    <xdr:pic macro="[0]!Nada">
      <xdr:nvPicPr>
        <xdr:cNvPr id="1078" name="LG" descr="ruce2">
          <a:extLst>
            <a:ext uri="{FF2B5EF4-FFF2-40B4-BE49-F238E27FC236}">
              <a16:creationId xmlns:a16="http://schemas.microsoft.com/office/drawing/2014/main" id="{00000000-0008-0000-0100-000036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47725" y="5153025"/>
          <a:ext cx="828675" cy="86677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5</xdr:col>
          <xdr:colOff>6350</xdr:colOff>
          <xdr:row>0</xdr:row>
          <xdr:rowOff>0</xdr:rowOff>
        </xdr:from>
        <xdr:to>
          <xdr:col>5</xdr:col>
          <xdr:colOff>1454150</xdr:colOff>
          <xdr:row>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cs-CZ" sz="1000" b="0" i="0" u="none" strike="noStrike" baseline="0">
                  <a:solidFill>
                    <a:srgbClr val="000000"/>
                  </a:solidFill>
                  <a:latin typeface="Arial"/>
                  <a:cs typeface="Arial"/>
                </a:rPr>
                <a:t>Lock This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260350</xdr:colOff>
          <xdr:row>0</xdr:row>
          <xdr:rowOff>0</xdr:rowOff>
        </xdr:from>
        <xdr:to>
          <xdr:col>5</xdr:col>
          <xdr:colOff>571500</xdr:colOff>
          <xdr:row>0</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cs-CZ" sz="1000" b="0" i="0" u="none" strike="noStrike" baseline="0">
                  <a:solidFill>
                    <a:srgbClr val="000000"/>
                  </a:solidFill>
                  <a:latin typeface="Arial"/>
                  <a:cs typeface="Arial"/>
                </a:rPr>
                <a:t>Select Logo Image</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952500</xdr:colOff>
          <xdr:row>0</xdr:row>
          <xdr:rowOff>0</xdr:rowOff>
        </xdr:from>
        <xdr:to>
          <xdr:col>6</xdr:col>
          <xdr:colOff>647700</xdr:colOff>
          <xdr:row>0</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cs-CZ" sz="1000" b="1" i="0" u="none" strike="noStrike" baseline="0">
                  <a:solidFill>
                    <a:srgbClr val="000000"/>
                  </a:solidFill>
                  <a:latin typeface="Arial"/>
                  <a:cs typeface="Arial"/>
                </a:rPr>
                <a:t>Change Lettertype Font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260350</xdr:colOff>
          <xdr:row>0</xdr:row>
          <xdr:rowOff>0</xdr:rowOff>
        </xdr:from>
        <xdr:to>
          <xdr:col>5</xdr:col>
          <xdr:colOff>571500</xdr:colOff>
          <xdr:row>0</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cs-CZ" sz="1000" b="0" i="0" u="none" strike="noStrike" baseline="0">
                  <a:solidFill>
                    <a:srgbClr val="000000"/>
                  </a:solidFill>
                  <a:latin typeface="Arial"/>
                  <a:cs typeface="Arial"/>
                </a:rPr>
                <a:t>Select Logo Image</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952500</xdr:colOff>
          <xdr:row>0</xdr:row>
          <xdr:rowOff>0</xdr:rowOff>
        </xdr:from>
        <xdr:to>
          <xdr:col>6</xdr:col>
          <xdr:colOff>647700</xdr:colOff>
          <xdr:row>0</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cs-CZ" sz="1000" b="0" i="0" u="none" strike="noStrike" baseline="0">
                  <a:solidFill>
                    <a:srgbClr val="000000"/>
                  </a:solidFill>
                  <a:latin typeface="Arial"/>
                  <a:cs typeface="Arial"/>
                </a:rPr>
                <a:t>Change Plate Font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63500</xdr:colOff>
          <xdr:row>6</xdr:row>
          <xdr:rowOff>114300</xdr:rowOff>
        </xdr:from>
        <xdr:to>
          <xdr:col>5</xdr:col>
          <xdr:colOff>1974850</xdr:colOff>
          <xdr:row>8</xdr:row>
          <xdr:rowOff>76200</xdr:rowOff>
        </xdr:to>
        <xdr:sp macro="" textlink="">
          <xdr:nvSpPr>
            <xdr:cNvPr id="1046" name="Lock"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cs-CZ" sz="1000" b="0" i="0" u="none" strike="noStrike" baseline="0">
                  <a:solidFill>
                    <a:srgbClr val="000000"/>
                  </a:solidFill>
                  <a:latin typeface="Arial CE"/>
                  <a:cs typeface="Arial CE"/>
                </a:rPr>
                <a:t>Zamknout / Uložit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412750</xdr:colOff>
          <xdr:row>38</xdr:row>
          <xdr:rowOff>25400</xdr:rowOff>
        </xdr:from>
        <xdr:to>
          <xdr:col>5</xdr:col>
          <xdr:colOff>114300</xdr:colOff>
          <xdr:row>39</xdr:row>
          <xdr:rowOff>107950</xdr:rowOff>
        </xdr:to>
        <xdr:sp macro="" textlink="">
          <xdr:nvSpPr>
            <xdr:cNvPr id="1049" name="LGBUT"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cs-CZ" sz="1000" b="0" i="0" u="none" strike="noStrike" baseline="0">
                  <a:solidFill>
                    <a:srgbClr val="000000"/>
                  </a:solidFill>
                  <a:latin typeface="Arial CE"/>
                  <a:cs typeface="Arial CE"/>
                </a:rPr>
                <a:t>Vybrat logo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1289050</xdr:colOff>
          <xdr:row>38</xdr:row>
          <xdr:rowOff>6350</xdr:rowOff>
        </xdr:from>
        <xdr:to>
          <xdr:col>7</xdr:col>
          <xdr:colOff>292100</xdr:colOff>
          <xdr:row>39</xdr:row>
          <xdr:rowOff>82550</xdr:rowOff>
        </xdr:to>
        <xdr:sp macro="" textlink="">
          <xdr:nvSpPr>
            <xdr:cNvPr id="1050" name="LTBUT"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cs-CZ" sz="1000" b="0" i="0" u="none" strike="noStrike" baseline="0">
                  <a:solidFill>
                    <a:srgbClr val="000000"/>
                  </a:solidFill>
                  <a:latin typeface="Arial CE"/>
                  <a:cs typeface="Arial CE"/>
                </a:rPr>
                <a:t>Změnit písmo záhlaví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869950</xdr:colOff>
          <xdr:row>20</xdr:row>
          <xdr:rowOff>184150</xdr:rowOff>
        </xdr:from>
        <xdr:to>
          <xdr:col>4</xdr:col>
          <xdr:colOff>139700</xdr:colOff>
          <xdr:row>22</xdr:row>
          <xdr:rowOff>63500</xdr:rowOff>
        </xdr:to>
        <xdr:sp macro="" textlink="">
          <xdr:nvSpPr>
            <xdr:cNvPr id="1051" name="Same"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869950</xdr:colOff>
          <xdr:row>23</xdr:row>
          <xdr:rowOff>139700</xdr:rowOff>
        </xdr:from>
        <xdr:to>
          <xdr:col>4</xdr:col>
          <xdr:colOff>139700</xdr:colOff>
          <xdr:row>24</xdr:row>
          <xdr:rowOff>158750</xdr:rowOff>
        </xdr:to>
        <xdr:sp macro="" textlink="">
          <xdr:nvSpPr>
            <xdr:cNvPr id="1058" name="SHR"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352425</xdr:colOff>
      <xdr:row>2</xdr:row>
      <xdr:rowOff>47625</xdr:rowOff>
    </xdr:from>
    <xdr:to>
      <xdr:col>12</xdr:col>
      <xdr:colOff>409575</xdr:colOff>
      <xdr:row>9</xdr:row>
      <xdr:rowOff>0</xdr:rowOff>
    </xdr:to>
    <xdr:sp macro="[0]!Nada" textlink="">
      <xdr:nvSpPr>
        <xdr:cNvPr id="2066" name="LT">
          <a:extLst>
            <a:ext uri="{FF2B5EF4-FFF2-40B4-BE49-F238E27FC236}">
              <a16:creationId xmlns:a16="http://schemas.microsoft.com/office/drawing/2014/main" id="{00000000-0008-0000-0200-000012080000}"/>
            </a:ext>
          </a:extLst>
        </xdr:cNvPr>
        <xdr:cNvSpPr txBox="1">
          <a:spLocks noChangeArrowheads="1"/>
        </xdr:cNvSpPr>
      </xdr:nvSpPr>
      <xdr:spPr bwMode="auto">
        <a:xfrm>
          <a:off x="1295400" y="133350"/>
          <a:ext cx="3038475" cy="971550"/>
        </a:xfrm>
        <a:prstGeom prst="rect">
          <a:avLst/>
        </a:prstGeom>
        <a:solidFill>
          <a:srgbClr val="FFFFFF"/>
        </a:solidFill>
        <a:ln w="1">
          <a:noFill/>
          <a:miter lim="800000"/>
          <a:headEnd/>
          <a:tailEnd/>
        </a:ln>
      </xdr:spPr>
      <xdr:txBody>
        <a:bodyPr vertOverflow="clip" wrap="square" lIns="36576" tIns="32004" rIns="0" bIns="0" anchor="t" upright="1"/>
        <a:lstStyle/>
        <a:p>
          <a:pPr algn="l" rtl="0">
            <a:defRPr sz="1000"/>
          </a:pPr>
          <a:r>
            <a:rPr lang="cs-CZ" sz="1600" b="0" i="0" u="none" strike="noStrike" baseline="0">
              <a:solidFill>
                <a:srgbClr val="000000"/>
              </a:solidFill>
              <a:latin typeface="Times New Roman CE"/>
              <a:cs typeface="Times New Roman CE"/>
            </a:rPr>
            <a:t>Domov pro seniory Severní Terasa, </a:t>
          </a:r>
        </a:p>
        <a:p>
          <a:pPr algn="l" rtl="0">
            <a:defRPr sz="1000"/>
          </a:pPr>
          <a:r>
            <a:rPr lang="cs-CZ" sz="1600" b="0" i="0" u="none" strike="noStrike" baseline="0">
              <a:solidFill>
                <a:srgbClr val="000000"/>
              </a:solidFill>
              <a:latin typeface="Times New Roman CE"/>
              <a:cs typeface="Times New Roman CE"/>
            </a:rPr>
            <a:t>příspěvková organizace</a:t>
          </a:r>
        </a:p>
        <a:p>
          <a:pPr algn="l" rtl="0">
            <a:defRPr sz="1000"/>
          </a:pPr>
          <a:r>
            <a:rPr lang="cs-CZ" sz="800" b="0" i="0" u="none" strike="noStrike" baseline="0">
              <a:solidFill>
                <a:srgbClr val="000000"/>
              </a:solidFill>
              <a:latin typeface="Times New Roman CE"/>
              <a:cs typeface="Times New Roman CE"/>
            </a:rPr>
            <a:t>V Klidu 3133/12</a:t>
          </a:r>
        </a:p>
        <a:p>
          <a:pPr algn="l" rtl="0">
            <a:defRPr sz="1000"/>
          </a:pPr>
          <a:r>
            <a:rPr lang="cs-CZ" sz="800" b="0" i="0" u="none" strike="noStrike" baseline="0">
              <a:solidFill>
                <a:srgbClr val="000000"/>
              </a:solidFill>
              <a:latin typeface="Times New Roman CE"/>
              <a:cs typeface="Times New Roman CE"/>
            </a:rPr>
            <a:t>400 11  Ústí nad Labem</a:t>
          </a:r>
        </a:p>
        <a:p>
          <a:pPr algn="l" rtl="0">
            <a:defRPr sz="1000"/>
          </a:pPr>
          <a:r>
            <a:rPr lang="cs-CZ" sz="800" b="0" i="0" u="none" strike="noStrike" baseline="0">
              <a:solidFill>
                <a:srgbClr val="000000"/>
              </a:solidFill>
              <a:latin typeface="Times New Roman CE"/>
              <a:cs typeface="Times New Roman CE"/>
            </a:rPr>
            <a:t>tel. 472775577  fax 472776089</a:t>
          </a:r>
        </a:p>
      </xdr:txBody>
    </xdr:sp>
    <xdr:clientData/>
  </xdr:twoCellAnchor>
  <xdr:twoCellAnchor>
    <xdr:from>
      <xdr:col>2</xdr:col>
      <xdr:colOff>57150</xdr:colOff>
      <xdr:row>11</xdr:row>
      <xdr:rowOff>0</xdr:rowOff>
    </xdr:from>
    <xdr:to>
      <xdr:col>10</xdr:col>
      <xdr:colOff>47625</xdr:colOff>
      <xdr:row>18</xdr:row>
      <xdr:rowOff>152400</xdr:rowOff>
    </xdr:to>
    <xdr:sp macro="" textlink="">
      <xdr:nvSpPr>
        <xdr:cNvPr id="2121" name="PORDB1">
          <a:extLst>
            <a:ext uri="{FF2B5EF4-FFF2-40B4-BE49-F238E27FC236}">
              <a16:creationId xmlns:a16="http://schemas.microsoft.com/office/drawing/2014/main" id="{00000000-0008-0000-0200-000049080000}"/>
            </a:ext>
          </a:extLst>
        </xdr:cNvPr>
        <xdr:cNvSpPr>
          <a:spLocks noChangeArrowheads="1"/>
        </xdr:cNvSpPr>
      </xdr:nvSpPr>
      <xdr:spPr bwMode="auto">
        <a:xfrm>
          <a:off x="171450" y="1438275"/>
          <a:ext cx="3038475" cy="1285875"/>
        </a:xfrm>
        <a:prstGeom prst="roundRect">
          <a:avLst>
            <a:gd name="adj" fmla="val 16667"/>
          </a:avLst>
        </a:prstGeom>
        <a:noFill/>
        <a:ln w="9525">
          <a:solidFill>
            <a:srgbClr val="000080"/>
          </a:solidFill>
          <a:round/>
          <a:headEnd/>
          <a:tailEnd/>
        </a:ln>
      </xdr:spPr>
    </xdr:sp>
    <xdr:clientData/>
  </xdr:twoCellAnchor>
  <xdr:twoCellAnchor>
    <xdr:from>
      <xdr:col>4</xdr:col>
      <xdr:colOff>0</xdr:colOff>
      <xdr:row>41</xdr:row>
      <xdr:rowOff>104775</xdr:rowOff>
    </xdr:from>
    <xdr:to>
      <xdr:col>8</xdr:col>
      <xdr:colOff>285750</xdr:colOff>
      <xdr:row>42</xdr:row>
      <xdr:rowOff>104775</xdr:rowOff>
    </xdr:to>
    <xdr:sp macro="[0]!Nada" textlink="">
      <xdr:nvSpPr>
        <xdr:cNvPr id="2089" name="PORD3">
          <a:extLst>
            <a:ext uri="{FF2B5EF4-FFF2-40B4-BE49-F238E27FC236}">
              <a16:creationId xmlns:a16="http://schemas.microsoft.com/office/drawing/2014/main" id="{00000000-0008-0000-0200-000029080000}"/>
            </a:ext>
          </a:extLst>
        </xdr:cNvPr>
        <xdr:cNvSpPr txBox="1">
          <a:spLocks noChangeArrowheads="1"/>
        </xdr:cNvSpPr>
      </xdr:nvSpPr>
      <xdr:spPr bwMode="auto">
        <a:xfrm>
          <a:off x="942975" y="6400800"/>
          <a:ext cx="1543050" cy="161925"/>
        </a:xfrm>
        <a:prstGeom prst="rect">
          <a:avLst/>
        </a:prstGeom>
        <a:solidFill>
          <a:srgbClr val="FFFFFF"/>
        </a:solidFill>
        <a:ln w="1">
          <a:noFill/>
          <a:miter lim="800000"/>
          <a:headEnd/>
          <a:tailEnd/>
        </a:ln>
      </xdr:spPr>
      <xdr:txBody>
        <a:bodyPr vertOverflow="clip" wrap="square" lIns="27432" tIns="22860" rIns="27432" bIns="0" anchor="t" upright="1"/>
        <a:lstStyle/>
        <a:p>
          <a:pPr algn="ctr" rtl="0">
            <a:defRPr sz="1000"/>
          </a:pPr>
          <a:r>
            <a:rPr lang="cs-CZ" sz="1000" b="1" i="0" u="none" strike="noStrike" baseline="0">
              <a:solidFill>
                <a:srgbClr val="000000"/>
              </a:solidFill>
              <a:latin typeface="Arial CE"/>
              <a:cs typeface="Arial CE"/>
            </a:rPr>
            <a:t>Podrobnosti platby</a:t>
          </a:r>
        </a:p>
      </xdr:txBody>
    </xdr:sp>
    <xdr:clientData/>
  </xdr:twoCellAnchor>
  <xdr:twoCellAnchor>
    <xdr:from>
      <xdr:col>3</xdr:col>
      <xdr:colOff>171450</xdr:colOff>
      <xdr:row>9</xdr:row>
      <xdr:rowOff>133350</xdr:rowOff>
    </xdr:from>
    <xdr:to>
      <xdr:col>4</xdr:col>
      <xdr:colOff>333375</xdr:colOff>
      <xdr:row>10</xdr:row>
      <xdr:rowOff>142875</xdr:rowOff>
    </xdr:to>
    <xdr:sp macro="[0]!Nada" textlink="">
      <xdr:nvSpPr>
        <xdr:cNvPr id="2090" name="PORD1">
          <a:extLst>
            <a:ext uri="{FF2B5EF4-FFF2-40B4-BE49-F238E27FC236}">
              <a16:creationId xmlns:a16="http://schemas.microsoft.com/office/drawing/2014/main" id="{00000000-0008-0000-0200-00002A080000}"/>
            </a:ext>
          </a:extLst>
        </xdr:cNvPr>
        <xdr:cNvSpPr txBox="1">
          <a:spLocks noChangeArrowheads="1"/>
        </xdr:cNvSpPr>
      </xdr:nvSpPr>
      <xdr:spPr bwMode="auto">
        <a:xfrm>
          <a:off x="533400" y="1238250"/>
          <a:ext cx="742950" cy="180975"/>
        </a:xfrm>
        <a:prstGeom prst="rect">
          <a:avLst/>
        </a:prstGeom>
        <a:solidFill>
          <a:srgbClr val="FFFFFF"/>
        </a:solidFill>
        <a:ln w="1">
          <a:noFill/>
          <a:miter lim="800000"/>
          <a:headEnd/>
          <a:tailEnd/>
        </a:ln>
      </xdr:spPr>
      <xdr:txBody>
        <a:bodyPr vertOverflow="clip" wrap="square" lIns="27432" tIns="22860" rIns="27432" bIns="0" anchor="t" upright="1"/>
        <a:lstStyle/>
        <a:p>
          <a:pPr algn="ctr" rtl="0">
            <a:defRPr sz="1000"/>
          </a:pPr>
          <a:r>
            <a:rPr lang="cs-CZ" sz="1000" b="1" i="0" u="none" strike="noStrike" baseline="0">
              <a:solidFill>
                <a:srgbClr val="000000"/>
              </a:solidFill>
              <a:latin typeface="Arial CE"/>
              <a:cs typeface="Arial CE"/>
            </a:rPr>
            <a:t>Dodavatel</a:t>
          </a:r>
        </a:p>
      </xdr:txBody>
    </xdr:sp>
    <xdr:clientData/>
  </xdr:twoCellAnchor>
  <xdr:twoCellAnchor>
    <xdr:from>
      <xdr:col>11</xdr:col>
      <xdr:colOff>171450</xdr:colOff>
      <xdr:row>9</xdr:row>
      <xdr:rowOff>142875</xdr:rowOff>
    </xdr:from>
    <xdr:to>
      <xdr:col>12</xdr:col>
      <xdr:colOff>342900</xdr:colOff>
      <xdr:row>10</xdr:row>
      <xdr:rowOff>133350</xdr:rowOff>
    </xdr:to>
    <xdr:sp macro="[0]!Nada" textlink="">
      <xdr:nvSpPr>
        <xdr:cNvPr id="2092" name="PORD2">
          <a:extLst>
            <a:ext uri="{FF2B5EF4-FFF2-40B4-BE49-F238E27FC236}">
              <a16:creationId xmlns:a16="http://schemas.microsoft.com/office/drawing/2014/main" id="{00000000-0008-0000-0200-00002C080000}"/>
            </a:ext>
          </a:extLst>
        </xdr:cNvPr>
        <xdr:cNvSpPr txBox="1">
          <a:spLocks noChangeArrowheads="1"/>
        </xdr:cNvSpPr>
      </xdr:nvSpPr>
      <xdr:spPr bwMode="auto">
        <a:xfrm>
          <a:off x="3514725" y="1247775"/>
          <a:ext cx="752475" cy="161925"/>
        </a:xfrm>
        <a:prstGeom prst="rect">
          <a:avLst/>
        </a:prstGeom>
        <a:solidFill>
          <a:srgbClr val="FFFFFF"/>
        </a:solidFill>
        <a:ln w="1">
          <a:noFill/>
          <a:miter lim="800000"/>
          <a:headEnd/>
          <a:tailEnd/>
        </a:ln>
      </xdr:spPr>
      <xdr:txBody>
        <a:bodyPr vertOverflow="clip" wrap="square" lIns="27432" tIns="22860" rIns="27432" bIns="0" anchor="t" upright="1"/>
        <a:lstStyle/>
        <a:p>
          <a:pPr algn="ctr" rtl="0">
            <a:defRPr sz="1000"/>
          </a:pPr>
          <a:r>
            <a:rPr lang="cs-CZ" sz="1000" b="1" i="0" u="none" strike="noStrike" baseline="0">
              <a:solidFill>
                <a:srgbClr val="000000"/>
              </a:solidFill>
              <a:latin typeface="Arial CE"/>
              <a:cs typeface="Arial CE"/>
            </a:rPr>
            <a:t>Odběratel</a:t>
          </a:r>
        </a:p>
      </xdr:txBody>
    </xdr:sp>
    <xdr:clientData/>
  </xdr:twoCellAnchor>
  <xdr:twoCellAnchor>
    <xdr:from>
      <xdr:col>14</xdr:col>
      <xdr:colOff>47625</xdr:colOff>
      <xdr:row>46</xdr:row>
      <xdr:rowOff>133350</xdr:rowOff>
    </xdr:from>
    <xdr:to>
      <xdr:col>16</xdr:col>
      <xdr:colOff>409575</xdr:colOff>
      <xdr:row>47</xdr:row>
      <xdr:rowOff>180975</xdr:rowOff>
    </xdr:to>
    <xdr:sp macro="[0]!Nada" textlink="">
      <xdr:nvSpPr>
        <xdr:cNvPr id="2094" name="PORD4">
          <a:extLst>
            <a:ext uri="{FF2B5EF4-FFF2-40B4-BE49-F238E27FC236}">
              <a16:creationId xmlns:a16="http://schemas.microsoft.com/office/drawing/2014/main" id="{00000000-0008-0000-0200-00002E080000}"/>
            </a:ext>
          </a:extLst>
        </xdr:cNvPr>
        <xdr:cNvSpPr txBox="1">
          <a:spLocks noChangeArrowheads="1"/>
        </xdr:cNvSpPr>
      </xdr:nvSpPr>
      <xdr:spPr bwMode="auto">
        <a:xfrm>
          <a:off x="4800600" y="7239000"/>
          <a:ext cx="1057275" cy="209550"/>
        </a:xfrm>
        <a:prstGeom prst="rect">
          <a:avLst/>
        </a:prstGeom>
        <a:solidFill>
          <a:srgbClr val="FFFFFF"/>
        </a:solidFill>
        <a:ln w="1">
          <a:noFill/>
          <a:miter lim="800000"/>
          <a:headEnd/>
          <a:tailEnd/>
        </a:ln>
      </xdr:spPr>
      <xdr:txBody>
        <a:bodyPr vertOverflow="clip" wrap="square" lIns="27432" tIns="22860" rIns="27432" bIns="0" anchor="t" upright="1"/>
        <a:lstStyle/>
        <a:p>
          <a:pPr algn="ctr" rtl="0">
            <a:defRPr sz="1000"/>
          </a:pPr>
          <a:r>
            <a:rPr lang="cs-CZ" sz="1000" b="1" i="0" u="none" strike="noStrike" baseline="0">
              <a:solidFill>
                <a:srgbClr val="000000"/>
              </a:solidFill>
              <a:latin typeface="Arial CE"/>
              <a:cs typeface="Arial CE"/>
            </a:rPr>
            <a:t>Datum dodání</a:t>
          </a:r>
        </a:p>
      </xdr:txBody>
    </xdr:sp>
    <xdr:clientData/>
  </xdr:twoCellAnchor>
  <xdr:twoCellAnchor>
    <xdr:from>
      <xdr:col>3</xdr:col>
      <xdr:colOff>485775</xdr:colOff>
      <xdr:row>53</xdr:row>
      <xdr:rowOff>123825</xdr:rowOff>
    </xdr:from>
    <xdr:to>
      <xdr:col>6</xdr:col>
      <xdr:colOff>0</xdr:colOff>
      <xdr:row>54</xdr:row>
      <xdr:rowOff>152400</xdr:rowOff>
    </xdr:to>
    <xdr:sp macro="[0]!Nada" textlink="">
      <xdr:nvSpPr>
        <xdr:cNvPr id="2096" name="PORD5">
          <a:extLst>
            <a:ext uri="{FF2B5EF4-FFF2-40B4-BE49-F238E27FC236}">
              <a16:creationId xmlns:a16="http://schemas.microsoft.com/office/drawing/2014/main" id="{00000000-0008-0000-0200-000030080000}"/>
            </a:ext>
          </a:extLst>
        </xdr:cNvPr>
        <xdr:cNvSpPr txBox="1">
          <a:spLocks noChangeArrowheads="1"/>
        </xdr:cNvSpPr>
      </xdr:nvSpPr>
      <xdr:spPr bwMode="auto">
        <a:xfrm>
          <a:off x="847725" y="8220075"/>
          <a:ext cx="857250" cy="190500"/>
        </a:xfrm>
        <a:prstGeom prst="rect">
          <a:avLst/>
        </a:prstGeom>
        <a:solidFill>
          <a:srgbClr val="FFFFFF"/>
        </a:solidFill>
        <a:ln w="1">
          <a:noFill/>
          <a:miter lim="800000"/>
          <a:headEnd/>
          <a:tailEnd/>
        </a:ln>
      </xdr:spPr>
      <xdr:txBody>
        <a:bodyPr vertOverflow="clip" wrap="square" lIns="27432" tIns="22860" rIns="27432" bIns="0" anchor="t" upright="1"/>
        <a:lstStyle/>
        <a:p>
          <a:pPr algn="ctr" rtl="0">
            <a:defRPr sz="1000"/>
          </a:pPr>
          <a:r>
            <a:rPr lang="cs-CZ" sz="1000" b="1" i="0" u="none" strike="noStrike" baseline="0">
              <a:solidFill>
                <a:srgbClr val="000000"/>
              </a:solidFill>
              <a:latin typeface="Arial"/>
              <a:cs typeface="Arial"/>
            </a:rPr>
            <a:t>Schválení</a:t>
          </a:r>
        </a:p>
      </xdr:txBody>
    </xdr:sp>
    <xdr:clientData/>
  </xdr:twoCellAnchor>
  <xdr:twoCellAnchor>
    <xdr:from>
      <xdr:col>3</xdr:col>
      <xdr:colOff>266700</xdr:colOff>
      <xdr:row>60</xdr:row>
      <xdr:rowOff>9525</xdr:rowOff>
    </xdr:from>
    <xdr:to>
      <xdr:col>16</xdr:col>
      <xdr:colOff>466725</xdr:colOff>
      <xdr:row>64</xdr:row>
      <xdr:rowOff>57150</xdr:rowOff>
    </xdr:to>
    <xdr:sp macro="" textlink="">
      <xdr:nvSpPr>
        <xdr:cNvPr id="2127" name="PORDB6">
          <a:extLst>
            <a:ext uri="{FF2B5EF4-FFF2-40B4-BE49-F238E27FC236}">
              <a16:creationId xmlns:a16="http://schemas.microsoft.com/office/drawing/2014/main" id="{00000000-0008-0000-0200-00004F080000}"/>
            </a:ext>
          </a:extLst>
        </xdr:cNvPr>
        <xdr:cNvSpPr>
          <a:spLocks noChangeArrowheads="1"/>
        </xdr:cNvSpPr>
      </xdr:nvSpPr>
      <xdr:spPr bwMode="auto">
        <a:xfrm>
          <a:off x="628650" y="9239250"/>
          <a:ext cx="5286375" cy="733425"/>
        </a:xfrm>
        <a:prstGeom prst="roundRect">
          <a:avLst>
            <a:gd name="adj" fmla="val 16667"/>
          </a:avLst>
        </a:prstGeom>
        <a:noFill/>
        <a:ln w="9525">
          <a:solidFill>
            <a:srgbClr val="000080"/>
          </a:solidFill>
          <a:round/>
          <a:headEnd/>
          <a:tailEnd/>
        </a:ln>
      </xdr:spPr>
    </xdr:sp>
    <xdr:clientData/>
  </xdr:twoCellAnchor>
  <xdr:twoCellAnchor>
    <xdr:from>
      <xdr:col>3</xdr:col>
      <xdr:colOff>485775</xdr:colOff>
      <xdr:row>59</xdr:row>
      <xdr:rowOff>152400</xdr:rowOff>
    </xdr:from>
    <xdr:to>
      <xdr:col>9</xdr:col>
      <xdr:colOff>123825</xdr:colOff>
      <xdr:row>60</xdr:row>
      <xdr:rowOff>180975</xdr:rowOff>
    </xdr:to>
    <xdr:sp macro="[0]!Nada" textlink="">
      <xdr:nvSpPr>
        <xdr:cNvPr id="2098" name="PORD6">
          <a:extLst>
            <a:ext uri="{FF2B5EF4-FFF2-40B4-BE49-F238E27FC236}">
              <a16:creationId xmlns:a16="http://schemas.microsoft.com/office/drawing/2014/main" id="{00000000-0008-0000-0200-000032080000}"/>
            </a:ext>
          </a:extLst>
        </xdr:cNvPr>
        <xdr:cNvSpPr txBox="1">
          <a:spLocks noChangeArrowheads="1"/>
        </xdr:cNvSpPr>
      </xdr:nvSpPr>
      <xdr:spPr bwMode="auto">
        <a:xfrm>
          <a:off x="847725" y="9220200"/>
          <a:ext cx="1790700" cy="190500"/>
        </a:xfrm>
        <a:prstGeom prst="rect">
          <a:avLst/>
        </a:prstGeom>
        <a:solidFill>
          <a:srgbClr val="FFFFFF"/>
        </a:solidFill>
        <a:ln w="1">
          <a:noFill/>
          <a:miter lim="800000"/>
          <a:headEnd/>
          <a:tailEnd/>
        </a:ln>
      </xdr:spPr>
      <xdr:txBody>
        <a:bodyPr vertOverflow="clip" wrap="square" lIns="27432" tIns="22860" rIns="27432" bIns="0" anchor="t" upright="1"/>
        <a:lstStyle/>
        <a:p>
          <a:pPr algn="ctr" rtl="0">
            <a:defRPr sz="1000"/>
          </a:pPr>
          <a:r>
            <a:rPr lang="cs-CZ" sz="1000" b="1" i="0" u="none" strike="noStrike" baseline="0">
              <a:solidFill>
                <a:srgbClr val="000000"/>
              </a:solidFill>
              <a:latin typeface="Arial CE"/>
              <a:cs typeface="Arial CE"/>
            </a:rPr>
            <a:t>Poznámky / připomínky</a:t>
          </a:r>
        </a:p>
      </xdr:txBody>
    </xdr:sp>
    <xdr:clientData/>
  </xdr:twoCellAnchor>
  <xdr:twoCellAnchor>
    <xdr:from>
      <xdr:col>12</xdr:col>
      <xdr:colOff>104775</xdr:colOff>
      <xdr:row>7</xdr:row>
      <xdr:rowOff>38100</xdr:rowOff>
    </xdr:from>
    <xdr:to>
      <xdr:col>16</xdr:col>
      <xdr:colOff>476250</xdr:colOff>
      <xdr:row>9</xdr:row>
      <xdr:rowOff>123825</xdr:rowOff>
    </xdr:to>
    <xdr:sp macro="[0]!Nada" textlink="">
      <xdr:nvSpPr>
        <xdr:cNvPr id="2086" name="LBL">
          <a:extLst>
            <a:ext uri="{FF2B5EF4-FFF2-40B4-BE49-F238E27FC236}">
              <a16:creationId xmlns:a16="http://schemas.microsoft.com/office/drawing/2014/main" id="{00000000-0008-0000-0200-000026080000}"/>
            </a:ext>
          </a:extLst>
        </xdr:cNvPr>
        <xdr:cNvSpPr txBox="1">
          <a:spLocks noChangeArrowheads="1"/>
        </xdr:cNvSpPr>
      </xdr:nvSpPr>
      <xdr:spPr bwMode="auto">
        <a:xfrm>
          <a:off x="4029075" y="933450"/>
          <a:ext cx="1895475" cy="295275"/>
        </a:xfrm>
        <a:prstGeom prst="rect">
          <a:avLst/>
        </a:prstGeom>
        <a:solidFill>
          <a:srgbClr val="FFFFFF"/>
        </a:solidFill>
        <a:ln w="1">
          <a:noFill/>
          <a:miter lim="800000"/>
          <a:headEnd/>
          <a:tailEnd/>
        </a:ln>
      </xdr:spPr>
      <xdr:txBody>
        <a:bodyPr vertOverflow="clip" wrap="square" lIns="45720" tIns="36576" rIns="45720" bIns="36576" anchor="ctr" upright="1"/>
        <a:lstStyle/>
        <a:p>
          <a:pPr algn="ctr" rtl="0">
            <a:defRPr sz="1000"/>
          </a:pPr>
          <a:r>
            <a:rPr lang="cs-CZ" sz="1800" b="1" i="1" u="none" strike="noStrike" baseline="0">
              <a:solidFill>
                <a:srgbClr val="000000"/>
              </a:solidFill>
              <a:latin typeface="Arial CE"/>
              <a:cs typeface="Arial CE"/>
            </a:rPr>
            <a:t>OBJEDNÁVKA</a:t>
          </a:r>
        </a:p>
      </xdr:txBody>
    </xdr:sp>
    <xdr:clientData/>
  </xdr:twoCellAnchor>
  <mc:AlternateContent xmlns:mc="http://schemas.openxmlformats.org/markup-compatibility/2006">
    <mc:Choice xmlns:a14="http://schemas.microsoft.com/office/drawing/2010/main" Requires="a14">
      <xdr:twoCellAnchor>
        <xdr:from>
          <xdr:col>13</xdr:col>
          <xdr:colOff>215900</xdr:colOff>
          <xdr:row>4</xdr:row>
          <xdr:rowOff>107950</xdr:rowOff>
        </xdr:from>
        <xdr:to>
          <xdr:col>16</xdr:col>
          <xdr:colOff>311150</xdr:colOff>
          <xdr:row>6</xdr:row>
          <xdr:rowOff>31750</xdr:rowOff>
        </xdr:to>
        <xdr:sp macro="" textlink="">
          <xdr:nvSpPr>
            <xdr:cNvPr id="2084" name="CUST" hidden="1">
              <a:extLst>
                <a:ext uri="{63B3BB69-23CF-44E3-9099-C40C66FF867C}">
                  <a14:compatExt spid="_x0000_s2084"/>
                </a:ext>
                <a:ext uri="{FF2B5EF4-FFF2-40B4-BE49-F238E27FC236}">
                  <a16:creationId xmlns:a16="http://schemas.microsoft.com/office/drawing/2014/main" id="{00000000-0008-0000-0200-00002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cs-CZ" sz="1000" b="0" i="0" u="none" strike="noStrike" baseline="0">
                  <a:solidFill>
                    <a:srgbClr val="000000"/>
                  </a:solidFill>
                  <a:latin typeface="Arial CE"/>
                  <a:cs typeface="Arial CE"/>
                </a:rPr>
                <a:t>Upravit...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158750</xdr:colOff>
          <xdr:row>44</xdr:row>
          <xdr:rowOff>139700</xdr:rowOff>
        </xdr:from>
        <xdr:to>
          <xdr:col>12</xdr:col>
          <xdr:colOff>177800</xdr:colOff>
          <xdr:row>46</xdr:row>
          <xdr:rowOff>6350</xdr:rowOff>
        </xdr:to>
        <xdr:sp macro="" textlink="">
          <xdr:nvSpPr>
            <xdr:cNvPr id="2105" name="CCL" hidden="1">
              <a:extLst>
                <a:ext uri="{63B3BB69-23CF-44E3-9099-C40C66FF867C}">
                  <a14:compatExt spid="_x0000_s2105"/>
                </a:ext>
                <a:ext uri="{FF2B5EF4-FFF2-40B4-BE49-F238E27FC236}">
                  <a16:creationId xmlns:a16="http://schemas.microsoft.com/office/drawing/2014/main" id="{00000000-0008-0000-0200-0000390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196850</xdr:colOff>
          <xdr:row>42</xdr:row>
          <xdr:rowOff>114300</xdr:rowOff>
        </xdr:from>
        <xdr:to>
          <xdr:col>4</xdr:col>
          <xdr:colOff>501650</xdr:colOff>
          <xdr:row>44</xdr:row>
          <xdr:rowOff>6350</xdr:rowOff>
        </xdr:to>
        <xdr:sp macro="" textlink="">
          <xdr:nvSpPr>
            <xdr:cNvPr id="2106" name="pd1" hidden="1">
              <a:extLst>
                <a:ext uri="{63B3BB69-23CF-44E3-9099-C40C66FF867C}">
                  <a14:compatExt spid="_x0000_s2106"/>
                </a:ext>
                <a:ext uri="{FF2B5EF4-FFF2-40B4-BE49-F238E27FC236}">
                  <a16:creationId xmlns:a16="http://schemas.microsoft.com/office/drawing/2014/main" id="{00000000-0008-0000-0200-00003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196850</xdr:colOff>
          <xdr:row>43</xdr:row>
          <xdr:rowOff>120650</xdr:rowOff>
        </xdr:from>
        <xdr:to>
          <xdr:col>4</xdr:col>
          <xdr:colOff>501650</xdr:colOff>
          <xdr:row>45</xdr:row>
          <xdr:rowOff>25400</xdr:rowOff>
        </xdr:to>
        <xdr:sp macro="" textlink="">
          <xdr:nvSpPr>
            <xdr:cNvPr id="2108" name="pd3" hidden="1">
              <a:extLst>
                <a:ext uri="{63B3BB69-23CF-44E3-9099-C40C66FF867C}">
                  <a14:compatExt spid="_x0000_s2108"/>
                </a:ext>
                <a:ext uri="{FF2B5EF4-FFF2-40B4-BE49-F238E27FC236}">
                  <a16:creationId xmlns:a16="http://schemas.microsoft.com/office/drawing/2014/main" id="{00000000-0008-0000-02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196850</xdr:colOff>
          <xdr:row>45</xdr:row>
          <xdr:rowOff>120650</xdr:rowOff>
        </xdr:from>
        <xdr:to>
          <xdr:col>4</xdr:col>
          <xdr:colOff>501650</xdr:colOff>
          <xdr:row>47</xdr:row>
          <xdr:rowOff>25400</xdr:rowOff>
        </xdr:to>
        <xdr:sp macro="" textlink="">
          <xdr:nvSpPr>
            <xdr:cNvPr id="2109" name="pd4" hidden="1">
              <a:extLst>
                <a:ext uri="{63B3BB69-23CF-44E3-9099-C40C66FF867C}">
                  <a14:compatExt spid="_x0000_s2109"/>
                </a:ext>
                <a:ext uri="{FF2B5EF4-FFF2-40B4-BE49-F238E27FC236}">
                  <a16:creationId xmlns:a16="http://schemas.microsoft.com/office/drawing/2014/main" id="{00000000-0008-0000-0200-00003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196850</xdr:colOff>
          <xdr:row>44</xdr:row>
          <xdr:rowOff>120650</xdr:rowOff>
        </xdr:from>
        <xdr:to>
          <xdr:col>4</xdr:col>
          <xdr:colOff>501650</xdr:colOff>
          <xdr:row>46</xdr:row>
          <xdr:rowOff>25400</xdr:rowOff>
        </xdr:to>
        <xdr:sp macro="" textlink="">
          <xdr:nvSpPr>
            <xdr:cNvPr id="2110" name="pd2" hidden="1">
              <a:extLst>
                <a:ext uri="{63B3BB69-23CF-44E3-9099-C40C66FF867C}">
                  <a14:compatExt spid="_x0000_s2110"/>
                </a:ext>
                <a:ext uri="{FF2B5EF4-FFF2-40B4-BE49-F238E27FC236}">
                  <a16:creationId xmlns:a16="http://schemas.microsoft.com/office/drawing/2014/main" id="{00000000-0008-0000-0200-00003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macrosheets/intl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000-000000000000}">
  <dimension ref="A1:A11"/>
  <sheetViews>
    <sheetView showFormulas="1" zoomScale="95" workbookViewId="0"/>
  </sheetViews>
  <sheetFormatPr defaultRowHeight="12.5" x14ac:dyDescent="0.25"/>
  <sheetData>
    <row r="1" spans="1:1" x14ac:dyDescent="0.25">
      <c r="A1" t="b">
        <f>IF(ISERROR(MATCH("WZTEMPLT.XLA", DOCUMENTS(3), 0)))</f>
        <v>1</v>
      </c>
    </row>
    <row r="2" spans="1:1" x14ac:dyDescent="0.25">
      <c r="A2" t="b">
        <f>ERROR(FALSE)</f>
        <v>1</v>
      </c>
    </row>
    <row r="3" spans="1:1" x14ac:dyDescent="0.25">
      <c r="A3" t="e">
        <f>OPEN(GET.WORKSPACE(48)&amp;"\WZTEMPLT.XLA")</f>
        <v>#VALUE!</v>
      </c>
    </row>
    <row r="4" spans="1:1" x14ac:dyDescent="0.25">
      <c r="A4" t="b">
        <f>ERROR(TRUE)</f>
        <v>1</v>
      </c>
    </row>
    <row r="5" spans="1:1" x14ac:dyDescent="0.25">
      <c r="A5" t="b">
        <f>IF(ISERROR(A3))</f>
        <v>1</v>
      </c>
    </row>
    <row r="6" spans="1:1" x14ac:dyDescent="0.25">
      <c r="A6" t="b">
        <f>ALERT("Nelze otevřít Průvodce šablonami.")</f>
        <v>1</v>
      </c>
    </row>
    <row r="7" spans="1:1" x14ac:dyDescent="0.25">
      <c r="A7" t="b">
        <f>RETURN()</f>
        <v>1</v>
      </c>
    </row>
    <row r="8" spans="1:1" x14ac:dyDescent="0.25">
      <c r="A8" t="b">
        <f>END.IF()</f>
        <v>0</v>
      </c>
    </row>
    <row r="9" spans="1:1" x14ac:dyDescent="0.25">
      <c r="A9" t="b">
        <f>END.IF()</f>
        <v>1</v>
      </c>
    </row>
    <row r="10" spans="1:1" x14ac:dyDescent="0.25">
      <c r="A10">
        <f>RUN("WZTEMPLT.XLA!AutoOpenFromTemplate")</f>
        <v>0</v>
      </c>
    </row>
    <row r="11" spans="1:1" x14ac:dyDescent="0.25">
      <c r="A11" t="b">
        <f>RETURN()</f>
        <v>1</v>
      </c>
    </row>
  </sheetData>
  <phoneticPr fontId="14" type="noConversion"/>
  <pageMargins left="0.78740157499999996" right="0.78740157499999996" top="0.984251969" bottom="0.984251969" header="0.5" footer="0.5"/>
  <headerFooter alignWithMargins="0">
    <oddHeader>&amp;A</oddHeader>
    <oddFooter>Page &amp;P</oddFooter>
  </headerFooter>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1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omments" Target="../comments2.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1">
    <pageSetUpPr fitToPage="1"/>
  </sheetPr>
  <dimension ref="B1:K49"/>
  <sheetViews>
    <sheetView showGridLines="0" showRowColHeaders="0" topLeftCell="A27" zoomScale="95" workbookViewId="0">
      <selection activeCell="N37" sqref="N37"/>
    </sheetView>
  </sheetViews>
  <sheetFormatPr defaultColWidth="9.08984375" defaultRowHeight="12.5" x14ac:dyDescent="0.25"/>
  <cols>
    <col min="1" max="1" width="1.36328125" style="1" customWidth="1"/>
    <col min="2" max="2" width="0.453125" style="1" customWidth="1"/>
    <col min="3" max="3" width="3.6328125" style="1" customWidth="1"/>
    <col min="4" max="4" width="15.54296875" style="1" customWidth="1"/>
    <col min="5" max="5" width="3.6328125" style="1" customWidth="1"/>
    <col min="6" max="6" width="30.6328125" style="1" customWidth="1"/>
    <col min="7" max="7" width="18.6328125" style="1" customWidth="1"/>
    <col min="8" max="8" width="31.54296875" style="1" customWidth="1"/>
    <col min="9" max="10" width="3.6328125" style="1" customWidth="1"/>
    <col min="11" max="11" width="0.453125" style="1" customWidth="1"/>
    <col min="12" max="16384" width="9.08984375" style="1"/>
  </cols>
  <sheetData>
    <row r="1" spans="2:11" ht="6" customHeight="1" thickBot="1" x14ac:dyDescent="0.3"/>
    <row r="2" spans="2:11" ht="0.9" customHeight="1" thickTop="1" x14ac:dyDescent="0.25">
      <c r="B2" s="2"/>
      <c r="C2" s="3"/>
      <c r="D2" s="3"/>
      <c r="E2" s="3"/>
      <c r="F2" s="3"/>
      <c r="G2" s="3"/>
      <c r="H2" s="3"/>
      <c r="I2" s="3"/>
      <c r="J2" s="3"/>
      <c r="K2" s="4"/>
    </row>
    <row r="3" spans="2:11" ht="12.75" customHeight="1" x14ac:dyDescent="0.25">
      <c r="B3" s="5"/>
      <c r="C3" s="6"/>
      <c r="D3" s="6"/>
      <c r="E3" s="6"/>
      <c r="F3" s="6"/>
      <c r="G3" s="6"/>
      <c r="H3" s="6"/>
      <c r="I3" s="6"/>
      <c r="J3" s="6"/>
      <c r="K3" s="7"/>
    </row>
    <row r="4" spans="2:11" ht="23" thickBot="1" x14ac:dyDescent="0.5">
      <c r="B4" s="5"/>
      <c r="C4" s="6"/>
      <c r="D4" s="118" t="s">
        <v>0</v>
      </c>
      <c r="E4" s="119"/>
      <c r="F4" s="119"/>
      <c r="G4" s="6"/>
      <c r="H4" s="6"/>
      <c r="I4" s="6"/>
      <c r="J4" s="6"/>
      <c r="K4" s="7"/>
    </row>
    <row r="5" spans="2:11" ht="3" customHeight="1" thickTop="1" x14ac:dyDescent="0.25">
      <c r="B5" s="14"/>
      <c r="C5" s="8"/>
      <c r="D5" s="8"/>
      <c r="E5" s="8"/>
      <c r="F5" s="8"/>
      <c r="G5" s="8"/>
      <c r="H5" s="8"/>
      <c r="I5" s="8"/>
      <c r="J5" s="8"/>
      <c r="K5" s="15"/>
    </row>
    <row r="6" spans="2:11" ht="12.75" customHeight="1" x14ac:dyDescent="0.35">
      <c r="B6" s="5"/>
      <c r="C6" s="6"/>
      <c r="D6" s="16"/>
      <c r="E6" s="16"/>
      <c r="F6" s="6"/>
      <c r="G6" s="6"/>
      <c r="H6" s="6"/>
      <c r="I6" s="6"/>
      <c r="J6" s="6"/>
      <c r="K6" s="7"/>
    </row>
    <row r="7" spans="2:11" x14ac:dyDescent="0.25">
      <c r="B7" s="5"/>
      <c r="C7" s="6"/>
      <c r="D7" s="6"/>
      <c r="E7" s="6"/>
      <c r="F7" s="6"/>
      <c r="G7" s="6"/>
      <c r="H7" s="13" t="s">
        <v>64</v>
      </c>
      <c r="I7" s="6"/>
      <c r="J7" s="6"/>
      <c r="K7" s="7"/>
    </row>
    <row r="8" spans="2:11" x14ac:dyDescent="0.25">
      <c r="B8" s="5"/>
      <c r="C8" s="6"/>
      <c r="D8" s="6"/>
      <c r="E8" s="6"/>
      <c r="F8" s="6"/>
      <c r="G8" s="6"/>
      <c r="H8" s="13" t="s">
        <v>65</v>
      </c>
      <c r="I8" s="12"/>
      <c r="J8" s="12"/>
      <c r="K8" s="7"/>
    </row>
    <row r="9" spans="2:11" x14ac:dyDescent="0.25">
      <c r="B9" s="5"/>
      <c r="C9" s="6"/>
      <c r="D9" s="17"/>
      <c r="E9" s="17"/>
      <c r="F9" s="6"/>
      <c r="G9" s="6"/>
      <c r="H9" s="6"/>
      <c r="I9" s="6"/>
      <c r="J9" s="6"/>
      <c r="K9" s="7"/>
    </row>
    <row r="10" spans="2:11" ht="13.5" thickBot="1" x14ac:dyDescent="0.35">
      <c r="B10" s="5"/>
      <c r="C10" s="6"/>
      <c r="D10" s="113" t="s">
        <v>1</v>
      </c>
      <c r="E10" s="114"/>
      <c r="F10" s="114"/>
      <c r="G10" s="6"/>
      <c r="H10" s="6"/>
      <c r="I10" s="6"/>
      <c r="J10" s="6"/>
      <c r="K10" s="7"/>
    </row>
    <row r="11" spans="2:11" ht="13.5" thickBot="1" x14ac:dyDescent="0.35">
      <c r="B11" s="5"/>
      <c r="C11" s="6"/>
      <c r="D11" s="18"/>
      <c r="E11" s="19"/>
      <c r="F11" s="20"/>
      <c r="G11" s="20"/>
      <c r="H11" s="20"/>
      <c r="I11" s="21"/>
      <c r="J11" s="6"/>
      <c r="K11" s="7"/>
    </row>
    <row r="12" spans="2:11" x14ac:dyDescent="0.25">
      <c r="B12" s="5"/>
      <c r="C12" s="6"/>
      <c r="D12" s="22"/>
      <c r="E12" s="23" t="s">
        <v>63</v>
      </c>
      <c r="F12" s="24" t="s">
        <v>84</v>
      </c>
      <c r="G12" s="25" t="s">
        <v>2</v>
      </c>
      <c r="H12" s="24" t="s">
        <v>75</v>
      </c>
      <c r="I12" s="26"/>
      <c r="J12" s="6"/>
      <c r="K12" s="7"/>
    </row>
    <row r="13" spans="2:11" x14ac:dyDescent="0.25">
      <c r="B13" s="5"/>
      <c r="C13" s="6"/>
      <c r="D13" s="22"/>
      <c r="E13" s="23" t="s">
        <v>3</v>
      </c>
      <c r="F13" s="27" t="s">
        <v>72</v>
      </c>
      <c r="G13" s="25" t="s">
        <v>4</v>
      </c>
      <c r="H13" s="27" t="s">
        <v>76</v>
      </c>
      <c r="I13" s="26"/>
      <c r="J13" s="6"/>
      <c r="K13" s="7"/>
    </row>
    <row r="14" spans="2:11" x14ac:dyDescent="0.25">
      <c r="B14" s="5"/>
      <c r="C14" s="6"/>
      <c r="D14" s="22"/>
      <c r="E14" s="23" t="s">
        <v>5</v>
      </c>
      <c r="F14" s="27" t="s">
        <v>73</v>
      </c>
      <c r="G14" s="23" t="s">
        <v>6</v>
      </c>
      <c r="H14" s="27" t="s">
        <v>77</v>
      </c>
      <c r="I14" s="26"/>
      <c r="J14" s="6"/>
      <c r="K14" s="7"/>
    </row>
    <row r="15" spans="2:11" ht="13" thickBot="1" x14ac:dyDescent="0.3">
      <c r="B15" s="5"/>
      <c r="C15" s="6"/>
      <c r="D15" s="22"/>
      <c r="E15" s="23" t="s">
        <v>7</v>
      </c>
      <c r="F15" s="27" t="s">
        <v>74</v>
      </c>
      <c r="G15" s="23" t="s">
        <v>8</v>
      </c>
      <c r="H15" s="28" t="s">
        <v>81</v>
      </c>
      <c r="I15" s="26"/>
      <c r="J15" s="6"/>
      <c r="K15" s="7"/>
    </row>
    <row r="16" spans="2:11" ht="13" thickBot="1" x14ac:dyDescent="0.3">
      <c r="B16" s="5"/>
      <c r="C16" s="6"/>
      <c r="D16" s="22"/>
      <c r="E16" s="23" t="s">
        <v>9</v>
      </c>
      <c r="F16" s="28" t="s">
        <v>80</v>
      </c>
      <c r="G16" s="23"/>
      <c r="H16" s="29"/>
      <c r="I16" s="26"/>
      <c r="J16" s="6"/>
      <c r="K16" s="7"/>
    </row>
    <row r="17" spans="2:11" ht="13" thickBot="1" x14ac:dyDescent="0.3">
      <c r="B17" s="5"/>
      <c r="C17" s="6"/>
      <c r="D17" s="30"/>
      <c r="E17" s="31"/>
      <c r="F17" s="31"/>
      <c r="G17" s="31"/>
      <c r="H17" s="31"/>
      <c r="I17" s="32"/>
      <c r="J17" s="6"/>
      <c r="K17" s="7"/>
    </row>
    <row r="18" spans="2:11" x14ac:dyDescent="0.25">
      <c r="B18" s="5"/>
      <c r="C18" s="6"/>
      <c r="D18" s="6"/>
      <c r="E18" s="6"/>
      <c r="F18" s="6"/>
      <c r="G18" s="6"/>
      <c r="H18" s="6"/>
      <c r="I18" s="6"/>
      <c r="J18" s="6"/>
      <c r="K18" s="7"/>
    </row>
    <row r="19" spans="2:11" ht="13.5" thickBot="1" x14ac:dyDescent="0.35">
      <c r="B19" s="5"/>
      <c r="C19" s="6"/>
      <c r="D19" s="113" t="s">
        <v>10</v>
      </c>
      <c r="E19" s="114"/>
      <c r="F19" s="114"/>
      <c r="G19" s="6"/>
      <c r="H19" s="6"/>
      <c r="I19" s="6"/>
      <c r="J19" s="6"/>
      <c r="K19" s="7"/>
    </row>
    <row r="20" spans="2:11" ht="5.15" customHeight="1" x14ac:dyDescent="0.3">
      <c r="B20" s="5"/>
      <c r="C20" s="6"/>
      <c r="D20" s="18"/>
      <c r="E20" s="19"/>
      <c r="F20" s="20"/>
      <c r="G20" s="20"/>
      <c r="H20" s="20"/>
      <c r="I20" s="21"/>
      <c r="J20" s="6"/>
      <c r="K20" s="7"/>
    </row>
    <row r="21" spans="2:11" ht="15" thickBot="1" x14ac:dyDescent="0.4">
      <c r="B21" s="5"/>
      <c r="C21" s="6"/>
      <c r="D21" s="33"/>
      <c r="E21" s="29"/>
      <c r="F21" s="36"/>
      <c r="G21" s="35"/>
      <c r="H21" s="29"/>
      <c r="I21" s="26"/>
      <c r="J21" s="6"/>
      <c r="K21" s="7"/>
    </row>
    <row r="22" spans="2:11" ht="14.5" x14ac:dyDescent="0.35">
      <c r="B22" s="5"/>
      <c r="C22" s="6"/>
      <c r="D22" s="50" t="b">
        <v>1</v>
      </c>
      <c r="E22" s="34" t="s">
        <v>61</v>
      </c>
      <c r="F22" s="36"/>
      <c r="G22" s="23" t="s">
        <v>11</v>
      </c>
      <c r="H22" s="24" t="s">
        <v>12</v>
      </c>
      <c r="I22" s="26"/>
      <c r="J22" s="6"/>
      <c r="K22" s="7"/>
    </row>
    <row r="23" spans="2:11" ht="14.5" x14ac:dyDescent="0.35">
      <c r="B23" s="5"/>
      <c r="C23" s="6"/>
      <c r="D23" s="33"/>
      <c r="E23" s="34" t="s">
        <v>13</v>
      </c>
      <c r="F23" s="36"/>
      <c r="G23" s="37"/>
      <c r="H23" s="38" t="s">
        <v>14</v>
      </c>
      <c r="I23" s="26"/>
      <c r="J23" s="6"/>
      <c r="K23" s="7"/>
    </row>
    <row r="24" spans="2:11" ht="14.5" x14ac:dyDescent="0.35">
      <c r="B24" s="5"/>
      <c r="C24" s="6"/>
      <c r="D24" s="33"/>
      <c r="E24" s="39"/>
      <c r="F24" s="36"/>
      <c r="G24" s="35"/>
      <c r="H24" s="27" t="s">
        <v>15</v>
      </c>
      <c r="I24" s="26"/>
      <c r="J24" s="6"/>
      <c r="K24" s="7"/>
    </row>
    <row r="25" spans="2:11" ht="13" thickBot="1" x14ac:dyDescent="0.3">
      <c r="B25" s="5"/>
      <c r="C25" s="6"/>
      <c r="D25" s="54" t="b">
        <v>0</v>
      </c>
      <c r="E25" s="37" t="s">
        <v>68</v>
      </c>
      <c r="F25" s="37"/>
      <c r="G25" s="23"/>
      <c r="H25" s="28"/>
      <c r="I25" s="26"/>
      <c r="J25" s="6"/>
      <c r="K25" s="7"/>
    </row>
    <row r="26" spans="2:11" ht="13" thickBot="1" x14ac:dyDescent="0.3">
      <c r="B26" s="5"/>
      <c r="C26" s="6"/>
      <c r="D26" s="33"/>
      <c r="E26" s="39"/>
      <c r="F26" s="37"/>
      <c r="G26" s="37"/>
      <c r="H26" s="37"/>
      <c r="I26" s="26"/>
      <c r="J26" s="6"/>
      <c r="K26" s="7"/>
    </row>
    <row r="27" spans="2:11" ht="13" thickBot="1" x14ac:dyDescent="0.3">
      <c r="B27" s="5"/>
      <c r="C27" s="6"/>
      <c r="D27" s="50" t="b">
        <v>0</v>
      </c>
      <c r="E27" s="39"/>
      <c r="F27" s="23" t="s">
        <v>62</v>
      </c>
      <c r="G27" s="115"/>
      <c r="H27" s="116"/>
      <c r="I27" s="26"/>
      <c r="J27" s="6"/>
      <c r="K27" s="7"/>
    </row>
    <row r="28" spans="2:11" ht="13" thickBot="1" x14ac:dyDescent="0.3">
      <c r="B28" s="5"/>
      <c r="C28" s="6"/>
      <c r="D28" s="33"/>
      <c r="E28" s="39"/>
      <c r="F28" s="37"/>
      <c r="G28" s="40"/>
      <c r="H28" s="37"/>
      <c r="I28" s="26"/>
      <c r="J28" s="6"/>
      <c r="K28" s="7"/>
    </row>
    <row r="29" spans="2:11" ht="13" thickBot="1" x14ac:dyDescent="0.3">
      <c r="B29" s="5"/>
      <c r="C29" s="6"/>
      <c r="D29" s="33"/>
      <c r="E29" s="39"/>
      <c r="F29" s="23" t="s">
        <v>66</v>
      </c>
      <c r="G29" s="117" t="str">
        <f>LOWER(TemplateInformation!$B$3)</f>
        <v>c:\program files\microsoft office\office\library\podb.xls</v>
      </c>
      <c r="H29" s="116"/>
      <c r="I29" s="26"/>
      <c r="J29" s="6"/>
      <c r="K29" s="7"/>
    </row>
    <row r="30" spans="2:11" ht="13" thickBot="1" x14ac:dyDescent="0.3">
      <c r="B30" s="5"/>
      <c r="C30" s="6"/>
      <c r="D30" s="30"/>
      <c r="E30" s="31"/>
      <c r="F30" s="31"/>
      <c r="G30" s="31"/>
      <c r="H30" s="31"/>
      <c r="I30" s="32"/>
      <c r="J30" s="6"/>
      <c r="K30" s="7"/>
    </row>
    <row r="31" spans="2:11" x14ac:dyDescent="0.25">
      <c r="B31" s="5"/>
      <c r="C31" s="6"/>
      <c r="D31" s="6"/>
      <c r="E31" s="6"/>
      <c r="F31" s="6"/>
      <c r="G31" s="6"/>
      <c r="H31" s="6"/>
      <c r="I31" s="6"/>
      <c r="J31" s="6"/>
      <c r="K31" s="7"/>
    </row>
    <row r="32" spans="2:11" ht="13.5" thickBot="1" x14ac:dyDescent="0.35">
      <c r="B32" s="5"/>
      <c r="C32" s="6"/>
      <c r="D32" s="113" t="s">
        <v>67</v>
      </c>
      <c r="E32" s="114"/>
      <c r="F32" s="114"/>
      <c r="G32" s="6"/>
      <c r="H32" s="6"/>
      <c r="I32" s="6"/>
      <c r="J32" s="6"/>
      <c r="K32" s="7"/>
    </row>
    <row r="33" spans="2:11" ht="13" x14ac:dyDescent="0.3">
      <c r="B33" s="5"/>
      <c r="C33" s="6"/>
      <c r="D33" s="18"/>
      <c r="E33" s="19"/>
      <c r="F33" s="20"/>
      <c r="G33" s="20"/>
      <c r="H33" s="20"/>
      <c r="I33" s="21"/>
      <c r="J33" s="6"/>
      <c r="K33" s="7"/>
    </row>
    <row r="34" spans="2:11" x14ac:dyDescent="0.25">
      <c r="B34" s="5"/>
      <c r="C34" s="6"/>
      <c r="D34" s="41"/>
      <c r="E34" s="42"/>
      <c r="F34" s="42"/>
      <c r="G34" s="55"/>
      <c r="H34" s="42"/>
      <c r="I34" s="43"/>
      <c r="J34" s="44"/>
      <c r="K34" s="45"/>
    </row>
    <row r="35" spans="2:11" x14ac:dyDescent="0.25">
      <c r="B35" s="5"/>
      <c r="C35" s="6"/>
      <c r="D35" s="41"/>
      <c r="E35" s="42"/>
      <c r="F35" s="42"/>
      <c r="G35" s="42"/>
      <c r="H35" s="42"/>
      <c r="I35" s="43"/>
      <c r="J35" s="44"/>
      <c r="K35" s="45"/>
    </row>
    <row r="36" spans="2:11" x14ac:dyDescent="0.25">
      <c r="B36" s="5"/>
      <c r="C36" s="6"/>
      <c r="D36" s="41"/>
      <c r="E36" s="42"/>
      <c r="F36" s="42"/>
      <c r="G36" s="42"/>
      <c r="H36" s="42"/>
      <c r="I36" s="43"/>
      <c r="J36" s="44"/>
      <c r="K36" s="45"/>
    </row>
    <row r="37" spans="2:11" x14ac:dyDescent="0.25">
      <c r="B37" s="5"/>
      <c r="C37" s="6"/>
      <c r="D37" s="41"/>
      <c r="E37" s="42"/>
      <c r="F37" s="42"/>
      <c r="G37" s="42"/>
      <c r="H37" s="42"/>
      <c r="I37" s="43"/>
      <c r="J37" s="44"/>
      <c r="K37" s="45"/>
    </row>
    <row r="38" spans="2:11" x14ac:dyDescent="0.25">
      <c r="B38" s="5"/>
      <c r="C38" s="6"/>
      <c r="D38" s="41"/>
      <c r="E38" s="42"/>
      <c r="F38" s="42"/>
      <c r="G38" s="42"/>
      <c r="H38" s="42"/>
      <c r="I38" s="43"/>
      <c r="J38" s="44"/>
      <c r="K38" s="45"/>
    </row>
    <row r="39" spans="2:11" x14ac:dyDescent="0.25">
      <c r="B39" s="5"/>
      <c r="C39" s="6"/>
      <c r="D39" s="41"/>
      <c r="E39" s="42"/>
      <c r="F39" s="42"/>
      <c r="G39" s="42"/>
      <c r="H39" s="42"/>
      <c r="I39" s="43"/>
      <c r="J39" s="44"/>
      <c r="K39" s="45"/>
    </row>
    <row r="40" spans="2:11" ht="13" thickBot="1" x14ac:dyDescent="0.3">
      <c r="B40" s="5"/>
      <c r="C40" s="6"/>
      <c r="D40" s="46"/>
      <c r="E40" s="47"/>
      <c r="F40" s="47"/>
      <c r="G40" s="47"/>
      <c r="H40" s="47"/>
      <c r="I40" s="48"/>
      <c r="J40" s="44"/>
      <c r="K40" s="45"/>
    </row>
    <row r="41" spans="2:11" x14ac:dyDescent="0.25">
      <c r="B41" s="5"/>
      <c r="C41" s="6"/>
      <c r="D41" s="6"/>
      <c r="E41" s="6"/>
      <c r="F41" s="6"/>
      <c r="G41" s="6"/>
      <c r="H41" s="6"/>
      <c r="I41" s="6"/>
      <c r="J41" s="6"/>
      <c r="K41" s="7"/>
    </row>
    <row r="42" spans="2:11" x14ac:dyDescent="0.25">
      <c r="B42" s="5"/>
      <c r="C42" s="6"/>
      <c r="D42" s="6"/>
      <c r="E42" s="6"/>
      <c r="F42" s="6"/>
      <c r="G42" s="6"/>
      <c r="H42" s="6"/>
      <c r="I42" s="6"/>
      <c r="J42" s="6"/>
      <c r="K42" s="7"/>
    </row>
    <row r="43" spans="2:11" ht="0.9" customHeight="1" thickBot="1" x14ac:dyDescent="0.3">
      <c r="B43" s="9"/>
      <c r="C43" s="10"/>
      <c r="D43" s="10"/>
      <c r="E43" s="10"/>
      <c r="F43" s="10"/>
      <c r="G43" s="10"/>
      <c r="H43" s="10"/>
      <c r="I43" s="10"/>
      <c r="J43" s="10"/>
      <c r="K43" s="11"/>
    </row>
    <row r="44" spans="2:11" ht="13" thickTop="1" x14ac:dyDescent="0.25"/>
    <row r="45" spans="2:11" x14ac:dyDescent="0.25">
      <c r="F45" s="49">
        <v>42</v>
      </c>
    </row>
    <row r="46" spans="2:11" x14ac:dyDescent="0.25">
      <c r="F46" s="49">
        <v>0</v>
      </c>
    </row>
    <row r="47" spans="2:11" x14ac:dyDescent="0.25">
      <c r="F47" s="49" t="b">
        <v>0</v>
      </c>
    </row>
    <row r="48" spans="2:11" x14ac:dyDescent="0.25">
      <c r="F48" s="49"/>
    </row>
    <row r="49" spans="6:6" x14ac:dyDescent="0.25">
      <c r="F49" s="49" t="s">
        <v>16</v>
      </c>
    </row>
  </sheetData>
  <mergeCells count="6">
    <mergeCell ref="D32:F32"/>
    <mergeCell ref="G27:H27"/>
    <mergeCell ref="G29:H29"/>
    <mergeCell ref="D4:F4"/>
    <mergeCell ref="D10:F10"/>
    <mergeCell ref="D19:F19"/>
  </mergeCells>
  <phoneticPr fontId="14" type="noConversion"/>
  <dataValidations disablePrompts="1" xWindow="539" yWindow="463" count="3">
    <dataValidation type="textLength" allowBlank="1" showInputMessage="1" showErrorMessage="1" errorTitle="Databáze Průvodce šablonou" error="Z TÉTO BUŇKY NELZE ZMĚNIT UMÍSTĚNÍ DATABÁZE. Chcete-li použít jinou databázi, vytvořte ji pomocí Průvodce šablonou. Informace o databázi Průvodce šablonou získáte klepnutím na tlačítko Nápověda na panelu nástrojů Objednávka." promptTitle="Databáze Průvodce šablonou" prompt="Každá objednávka, kterou vytvoříte pomocí této šablony, může být automaticky uložena do zvláštní kontrolní databáze. Tuto databázi vytvoří Průvodce šablonou." sqref="G29" xr:uid="{00000000-0002-0000-0100-000000000000}">
      <formula1>0</formula1>
      <formula2>0</formula2>
    </dataValidation>
    <dataValidation type="textLength" allowBlank="1" showInputMessage="1" showErrorMessage="1" errorTitle="Kreditní karty" error="Názvy kreditních karet nesmí být delší než 16 znaků." promptTitle="Kreditní karty" prompt="Do těchto buněk zadejte názvy kreditních karet, které vaše firma akceptuje. POZNÁMKA: Názvy kreditních karet omezte na 16 znaků. Pokud je název delší, měli byste jej zkrátit." sqref="H22" xr:uid="{00000000-0002-0000-0100-000001000000}">
      <formula1>0</formula1>
      <formula2>16</formula2>
    </dataValidation>
    <dataValidation type="textLength" errorStyle="warning" allowBlank="1" showInputMessage="1" showErrorMessage="1" errorTitle="Umístění počítacího souboru" error="V této buňce musí být zadána cesta." promptTitle="Umístění počítacího souboru" prompt="Počítací soubor pro objednávky musí být umístěn na serveru na obecně přístupném místě. POZNÁMKA: Zadejte pouze CESTU." sqref="G27:H27" xr:uid="{00000000-0002-0000-0100-000002000000}">
      <formula1>0</formula1>
      <formula2>256</formula2>
    </dataValidation>
  </dataValidations>
  <pageMargins left="0.78740157499999996" right="0.78740157499999996" top="0.984251969" bottom="0.984251969" header="0.5" footer="0.5"/>
  <pageSetup paperSize="9" scale="79" orientation="portrait" blackAndWhite="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Line="0" autoPict="0">
                <anchor moveWithCells="1" sizeWithCells="1">
                  <from>
                    <xdr:col>5</xdr:col>
                    <xdr:colOff>6350</xdr:colOff>
                    <xdr:row>0</xdr:row>
                    <xdr:rowOff>0</xdr:rowOff>
                  </from>
                  <to>
                    <xdr:col>5</xdr:col>
                    <xdr:colOff>1454150</xdr:colOff>
                    <xdr:row>0</xdr:row>
                    <xdr:rowOff>0</xdr:rowOff>
                  </to>
                </anchor>
              </controlPr>
            </control>
          </mc:Choice>
        </mc:AlternateContent>
        <mc:AlternateContent xmlns:mc="http://schemas.openxmlformats.org/markup-compatibility/2006">
          <mc:Choice Requires="x14">
            <control shapeId="1031" r:id="rId5" name="Button 7">
              <controlPr defaultSize="0" autoFill="0" autoLine="0" autoPict="0">
                <anchor moveWithCells="1" sizeWithCells="1">
                  <from>
                    <xdr:col>3</xdr:col>
                    <xdr:colOff>260350</xdr:colOff>
                    <xdr:row>0</xdr:row>
                    <xdr:rowOff>0</xdr:rowOff>
                  </from>
                  <to>
                    <xdr:col>5</xdr:col>
                    <xdr:colOff>571500</xdr:colOff>
                    <xdr:row>0</xdr:row>
                    <xdr:rowOff>0</xdr:rowOff>
                  </to>
                </anchor>
              </controlPr>
            </control>
          </mc:Choice>
        </mc:AlternateContent>
        <mc:AlternateContent xmlns:mc="http://schemas.openxmlformats.org/markup-compatibility/2006">
          <mc:Choice Requires="x14">
            <control shapeId="1032" r:id="rId6" name="Button 8">
              <controlPr defaultSize="0" autoFill="0" autoLine="0" autoPict="0">
                <anchor moveWithCells="1" sizeWithCells="1">
                  <from>
                    <xdr:col>5</xdr:col>
                    <xdr:colOff>952500</xdr:colOff>
                    <xdr:row>0</xdr:row>
                    <xdr:rowOff>0</xdr:rowOff>
                  </from>
                  <to>
                    <xdr:col>6</xdr:col>
                    <xdr:colOff>647700</xdr:colOff>
                    <xdr:row>0</xdr:row>
                    <xdr:rowOff>0</xdr:rowOff>
                  </to>
                </anchor>
              </controlPr>
            </control>
          </mc:Choice>
        </mc:AlternateContent>
        <mc:AlternateContent xmlns:mc="http://schemas.openxmlformats.org/markup-compatibility/2006">
          <mc:Choice Requires="x14">
            <control shapeId="1040" r:id="rId7" name="Button 16">
              <controlPr defaultSize="0" autoFill="0" autoLine="0" autoPict="0" macro="[0]!InsertLogo">
                <anchor moveWithCells="1" sizeWithCells="1">
                  <from>
                    <xdr:col>3</xdr:col>
                    <xdr:colOff>260350</xdr:colOff>
                    <xdr:row>0</xdr:row>
                    <xdr:rowOff>0</xdr:rowOff>
                  </from>
                  <to>
                    <xdr:col>5</xdr:col>
                    <xdr:colOff>571500</xdr:colOff>
                    <xdr:row>0</xdr:row>
                    <xdr:rowOff>0</xdr:rowOff>
                  </to>
                </anchor>
              </controlPr>
            </control>
          </mc:Choice>
        </mc:AlternateContent>
        <mc:AlternateContent xmlns:mc="http://schemas.openxmlformats.org/markup-compatibility/2006">
          <mc:Choice Requires="x14">
            <control shapeId="1041" r:id="rId8" name="Button 17">
              <controlPr defaultSize="0" autoFill="0" autoLine="0" autoPict="0" macro="[0]!ChangeFont">
                <anchor moveWithCells="1" sizeWithCells="1">
                  <from>
                    <xdr:col>5</xdr:col>
                    <xdr:colOff>952500</xdr:colOff>
                    <xdr:row>0</xdr:row>
                    <xdr:rowOff>0</xdr:rowOff>
                  </from>
                  <to>
                    <xdr:col>6</xdr:col>
                    <xdr:colOff>647700</xdr:colOff>
                    <xdr:row>0</xdr:row>
                    <xdr:rowOff>0</xdr:rowOff>
                  </to>
                </anchor>
              </controlPr>
            </control>
          </mc:Choice>
        </mc:AlternateContent>
        <mc:AlternateContent xmlns:mc="http://schemas.openxmlformats.org/markup-compatibility/2006">
          <mc:Choice Requires="x14">
            <control shapeId="1046" r:id="rId9" name="Lock">
              <controlPr defaultSize="0" print="0" autoFill="0" autoLine="0" autoPict="0" macro="[0]!LockSheet">
                <anchor moveWithCells="1" sizeWithCells="1">
                  <from>
                    <xdr:col>5</xdr:col>
                    <xdr:colOff>63500</xdr:colOff>
                    <xdr:row>6</xdr:row>
                    <xdr:rowOff>114300</xdr:rowOff>
                  </from>
                  <to>
                    <xdr:col>5</xdr:col>
                    <xdr:colOff>1974850</xdr:colOff>
                    <xdr:row>8</xdr:row>
                    <xdr:rowOff>76200</xdr:rowOff>
                  </to>
                </anchor>
              </controlPr>
            </control>
          </mc:Choice>
        </mc:AlternateContent>
        <mc:AlternateContent xmlns:mc="http://schemas.openxmlformats.org/markup-compatibility/2006">
          <mc:Choice Requires="x14">
            <control shapeId="1049" r:id="rId10" name="LGBUT">
              <controlPr defaultSize="0" print="0" autoFill="0" autoLine="0" autoPict="0" macro="[0]!InsertLogo">
                <anchor moveWithCells="1" sizeWithCells="1">
                  <from>
                    <xdr:col>3</xdr:col>
                    <xdr:colOff>412750</xdr:colOff>
                    <xdr:row>38</xdr:row>
                    <xdr:rowOff>25400</xdr:rowOff>
                  </from>
                  <to>
                    <xdr:col>5</xdr:col>
                    <xdr:colOff>114300</xdr:colOff>
                    <xdr:row>39</xdr:row>
                    <xdr:rowOff>107950</xdr:rowOff>
                  </to>
                </anchor>
              </controlPr>
            </control>
          </mc:Choice>
        </mc:AlternateContent>
        <mc:AlternateContent xmlns:mc="http://schemas.openxmlformats.org/markup-compatibility/2006">
          <mc:Choice Requires="x14">
            <control shapeId="1050" r:id="rId11" name="LTBUT">
              <controlPr defaultSize="0" print="0" autoFill="0" autoLine="0" autoPict="0" macro="[0]!ChangeFont">
                <anchor moveWithCells="1" sizeWithCells="1">
                  <from>
                    <xdr:col>5</xdr:col>
                    <xdr:colOff>1289050</xdr:colOff>
                    <xdr:row>38</xdr:row>
                    <xdr:rowOff>6350</xdr:rowOff>
                  </from>
                  <to>
                    <xdr:col>7</xdr:col>
                    <xdr:colOff>292100</xdr:colOff>
                    <xdr:row>39</xdr:row>
                    <xdr:rowOff>82550</xdr:rowOff>
                  </to>
                </anchor>
              </controlPr>
            </control>
          </mc:Choice>
        </mc:AlternateContent>
        <mc:AlternateContent xmlns:mc="http://schemas.openxmlformats.org/markup-compatibility/2006">
          <mc:Choice Requires="x14">
            <control shapeId="1051" r:id="rId12" name="Same">
              <controlPr defaultSize="0" autoFill="0" autoLine="0" autoPict="0">
                <anchor moveWithCells="1">
                  <from>
                    <xdr:col>3</xdr:col>
                    <xdr:colOff>869950</xdr:colOff>
                    <xdr:row>20</xdr:row>
                    <xdr:rowOff>184150</xdr:rowOff>
                  </from>
                  <to>
                    <xdr:col>4</xdr:col>
                    <xdr:colOff>139700</xdr:colOff>
                    <xdr:row>22</xdr:row>
                    <xdr:rowOff>63500</xdr:rowOff>
                  </to>
                </anchor>
              </controlPr>
            </control>
          </mc:Choice>
        </mc:AlternateContent>
        <mc:AlternateContent xmlns:mc="http://schemas.openxmlformats.org/markup-compatibility/2006">
          <mc:Choice Requires="x14">
            <control shapeId="1058" r:id="rId13" name="SHR">
              <controlPr defaultSize="0" autoFill="0" autoLine="0" autoPict="0">
                <anchor moveWithCells="1">
                  <from>
                    <xdr:col>3</xdr:col>
                    <xdr:colOff>869950</xdr:colOff>
                    <xdr:row>23</xdr:row>
                    <xdr:rowOff>139700</xdr:rowOff>
                  </from>
                  <to>
                    <xdr:col>4</xdr:col>
                    <xdr:colOff>139700</xdr:colOff>
                    <xdr:row>24</xdr:row>
                    <xdr:rowOff>158750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2">
    <pageSetUpPr fitToPage="1"/>
  </sheetPr>
  <dimension ref="B1:S142"/>
  <sheetViews>
    <sheetView showGridLines="0" showRowColHeaders="0" tabSelected="1" topLeftCell="B11" zoomScale="95" workbookViewId="0">
      <pane ySplit="40" topLeftCell="A46" activePane="bottomLeft"/>
      <selection activeCell="A2" sqref="A2"/>
      <selection pane="bottomLeft" activeCell="E62" sqref="E62:P64"/>
    </sheetView>
  </sheetViews>
  <sheetFormatPr defaultColWidth="9.08984375" defaultRowHeight="12.5" x14ac:dyDescent="0.25"/>
  <cols>
    <col min="1" max="1" width="1.36328125" style="56" customWidth="1"/>
    <col min="2" max="2" width="0.453125" style="56" customWidth="1"/>
    <col min="3" max="3" width="3.6328125" style="56" customWidth="1"/>
    <col min="4" max="4" width="8.6328125" style="56" customWidth="1"/>
    <col min="5" max="5" width="7.6328125" style="56" customWidth="1"/>
    <col min="6" max="8" width="3.6328125" style="56" customWidth="1"/>
    <col min="9" max="9" width="4.6328125" style="56" customWidth="1"/>
    <col min="10" max="10" width="9.6328125" style="56" customWidth="1"/>
    <col min="11" max="11" width="2.6328125" style="56" customWidth="1"/>
    <col min="12" max="12" width="8.6328125" style="56" customWidth="1"/>
    <col min="13" max="13" width="7.6328125" style="56" customWidth="1"/>
    <col min="14" max="15" width="4.6328125" style="56" customWidth="1"/>
    <col min="16" max="16" width="5.6328125" style="56" customWidth="1"/>
    <col min="17" max="17" width="12.6328125" style="56" customWidth="1"/>
    <col min="18" max="18" width="3.6328125" style="56" customWidth="1"/>
    <col min="19" max="19" width="0.453125" style="56" customWidth="1"/>
    <col min="20" max="16384" width="9.08984375" style="56"/>
  </cols>
  <sheetData>
    <row r="1" spans="2:19" ht="6" customHeight="1" thickBot="1" x14ac:dyDescent="0.3"/>
    <row r="2" spans="2:19" ht="0.9" customHeight="1" thickTop="1" x14ac:dyDescent="0.25">
      <c r="B2" s="57"/>
      <c r="C2" s="58"/>
      <c r="D2" s="58"/>
      <c r="E2" s="58"/>
      <c r="F2" s="58"/>
      <c r="G2" s="58"/>
      <c r="H2" s="58"/>
      <c r="I2" s="58"/>
      <c r="J2" s="58"/>
      <c r="K2" s="58"/>
      <c r="L2" s="58"/>
      <c r="M2" s="58"/>
      <c r="N2" s="58"/>
      <c r="O2" s="58"/>
      <c r="P2" s="58"/>
      <c r="Q2" s="58"/>
      <c r="R2" s="58"/>
      <c r="S2" s="59"/>
    </row>
    <row r="3" spans="2:19" x14ac:dyDescent="0.25">
      <c r="B3" s="60"/>
      <c r="C3" s="61"/>
      <c r="D3" s="61"/>
      <c r="E3" s="61"/>
      <c r="F3" s="61"/>
      <c r="G3" s="61"/>
      <c r="H3" s="61"/>
      <c r="I3" s="61"/>
      <c r="J3" s="61"/>
      <c r="K3" s="61"/>
      <c r="L3" s="61"/>
      <c r="M3" s="61"/>
      <c r="N3" s="61"/>
      <c r="O3" s="61"/>
      <c r="P3" s="61"/>
      <c r="Q3" s="61"/>
      <c r="R3" s="61"/>
      <c r="S3" s="62"/>
    </row>
    <row r="4" spans="2:19" ht="13" x14ac:dyDescent="0.3">
      <c r="B4" s="60"/>
      <c r="C4" s="61"/>
      <c r="D4" s="61"/>
      <c r="E4" s="61"/>
      <c r="F4" s="61"/>
      <c r="G4" s="61"/>
      <c r="H4" s="61"/>
      <c r="I4" s="61"/>
      <c r="J4" s="61"/>
      <c r="K4" s="61"/>
      <c r="L4" s="63"/>
      <c r="M4" s="61"/>
      <c r="N4" s="61"/>
      <c r="O4" s="64"/>
      <c r="P4" s="65"/>
      <c r="Q4" s="66">
        <v>34</v>
      </c>
      <c r="R4" s="61"/>
      <c r="S4" s="62"/>
    </row>
    <row r="5" spans="2:19" x14ac:dyDescent="0.25">
      <c r="B5" s="60"/>
      <c r="C5" s="61"/>
      <c r="D5" s="61"/>
      <c r="E5" s="61"/>
      <c r="F5" s="61"/>
      <c r="G5" s="61"/>
      <c r="H5" s="61"/>
      <c r="I5" s="61"/>
      <c r="J5" s="61"/>
      <c r="K5" s="61"/>
      <c r="L5" s="61"/>
      <c r="M5" s="61"/>
      <c r="N5" s="61"/>
      <c r="O5" s="63"/>
      <c r="P5" s="63"/>
      <c r="Q5" s="63"/>
      <c r="R5" s="61"/>
      <c r="S5" s="62"/>
    </row>
    <row r="6" spans="2:19" x14ac:dyDescent="0.25">
      <c r="B6" s="60"/>
      <c r="C6" s="61"/>
      <c r="D6" s="61"/>
      <c r="E6" s="61"/>
      <c r="F6" s="61"/>
      <c r="G6" s="61"/>
      <c r="H6" s="61"/>
      <c r="I6" s="61"/>
      <c r="J6" s="61"/>
      <c r="K6" s="61"/>
      <c r="L6" s="61"/>
      <c r="M6" s="61"/>
      <c r="N6" s="61"/>
      <c r="O6" s="63"/>
      <c r="P6" s="63"/>
      <c r="Q6" s="63"/>
      <c r="R6" s="61"/>
      <c r="S6" s="62"/>
    </row>
    <row r="7" spans="2:19" x14ac:dyDescent="0.25">
      <c r="B7" s="60"/>
      <c r="C7" s="61"/>
      <c r="D7" s="61"/>
      <c r="E7" s="61"/>
      <c r="F7" s="61"/>
      <c r="G7" s="61"/>
      <c r="H7" s="61"/>
      <c r="I7" s="61"/>
      <c r="J7" s="61"/>
      <c r="K7" s="61"/>
      <c r="L7" s="61"/>
      <c r="M7" s="61"/>
      <c r="N7" s="61"/>
      <c r="O7" s="63"/>
      <c r="P7" s="63"/>
      <c r="Q7" s="63"/>
      <c r="R7" s="61"/>
      <c r="S7" s="62"/>
    </row>
    <row r="8" spans="2:19" ht="13" thickBot="1" x14ac:dyDescent="0.3">
      <c r="B8" s="60"/>
      <c r="C8" s="61"/>
      <c r="D8" s="61"/>
      <c r="E8" s="61"/>
      <c r="F8" s="61"/>
      <c r="G8" s="61"/>
      <c r="H8" s="61"/>
      <c r="I8" s="61"/>
      <c r="J8" s="61"/>
      <c r="K8" s="61"/>
      <c r="L8" s="61"/>
      <c r="M8" s="61"/>
      <c r="N8" s="61"/>
      <c r="O8" s="63"/>
      <c r="P8" s="63"/>
      <c r="Q8" s="63"/>
      <c r="R8" s="61"/>
      <c r="S8" s="62"/>
    </row>
    <row r="9" spans="2:19" ht="3" customHeight="1" thickTop="1" x14ac:dyDescent="0.35">
      <c r="B9" s="60"/>
      <c r="C9" s="61"/>
      <c r="D9" s="67"/>
      <c r="E9" s="67"/>
      <c r="F9" s="67"/>
      <c r="G9" s="67"/>
      <c r="H9" s="67"/>
      <c r="I9" s="67"/>
      <c r="J9" s="67"/>
      <c r="K9" s="68"/>
      <c r="L9" s="68"/>
      <c r="M9" s="67"/>
      <c r="N9" s="67"/>
      <c r="O9" s="67"/>
      <c r="P9" s="67"/>
      <c r="Q9" s="67"/>
      <c r="R9" s="61"/>
      <c r="S9" s="62"/>
    </row>
    <row r="10" spans="2:19" ht="14.15" customHeight="1" x14ac:dyDescent="0.25">
      <c r="B10" s="60"/>
      <c r="C10" s="61"/>
      <c r="D10" s="61"/>
      <c r="E10" s="61"/>
      <c r="F10" s="61"/>
      <c r="G10" s="61"/>
      <c r="H10" s="61"/>
      <c r="I10" s="61"/>
      <c r="J10" s="61"/>
      <c r="K10" s="61"/>
      <c r="L10" s="61"/>
      <c r="M10" s="61"/>
      <c r="N10" s="61"/>
      <c r="O10" s="63"/>
      <c r="P10" s="63"/>
      <c r="Q10" s="63"/>
      <c r="R10" s="61"/>
      <c r="S10" s="62"/>
    </row>
    <row r="11" spans="2:19" x14ac:dyDescent="0.25">
      <c r="B11" s="60"/>
      <c r="C11" s="61"/>
      <c r="D11" s="61"/>
      <c r="E11" s="61"/>
      <c r="F11" s="61"/>
      <c r="G11" s="61"/>
      <c r="H11" s="61"/>
      <c r="I11" s="61"/>
      <c r="J11" s="61"/>
      <c r="K11" s="61"/>
      <c r="L11" s="61"/>
      <c r="M11" s="61"/>
      <c r="N11" s="61"/>
      <c r="O11" s="63"/>
      <c r="P11" s="63"/>
      <c r="Q11" s="63"/>
      <c r="R11" s="61"/>
      <c r="S11" s="62"/>
    </row>
    <row r="12" spans="2:19" x14ac:dyDescent="0.25">
      <c r="B12" s="60"/>
      <c r="C12" s="61"/>
      <c r="D12" s="63" t="s">
        <v>18</v>
      </c>
      <c r="E12" s="143" t="s">
        <v>91</v>
      </c>
      <c r="F12" s="143"/>
      <c r="G12" s="143"/>
      <c r="H12" s="143"/>
      <c r="I12" s="143"/>
      <c r="J12" s="143"/>
      <c r="K12" s="61"/>
      <c r="L12" s="63" t="s">
        <v>18</v>
      </c>
      <c r="M12" s="143" t="s">
        <v>83</v>
      </c>
      <c r="N12" s="143"/>
      <c r="O12" s="143"/>
      <c r="P12" s="143"/>
      <c r="Q12" s="143"/>
      <c r="R12" s="61"/>
      <c r="S12" s="62"/>
    </row>
    <row r="13" spans="2:19" x14ac:dyDescent="0.25">
      <c r="B13" s="60"/>
      <c r="C13" s="61"/>
      <c r="D13" s="63" t="s">
        <v>19</v>
      </c>
      <c r="E13" s="126" t="s">
        <v>92</v>
      </c>
      <c r="F13" s="126"/>
      <c r="G13" s="126"/>
      <c r="H13" s="126"/>
      <c r="I13" s="126"/>
      <c r="J13" s="126"/>
      <c r="K13" s="61"/>
      <c r="L13" s="63" t="s">
        <v>19</v>
      </c>
      <c r="M13" s="126" t="s">
        <v>72</v>
      </c>
      <c r="N13" s="126"/>
      <c r="O13" s="126"/>
      <c r="P13" s="126"/>
      <c r="Q13" s="126"/>
      <c r="R13" s="61"/>
      <c r="S13" s="62"/>
    </row>
    <row r="14" spans="2:19" x14ac:dyDescent="0.25">
      <c r="B14" s="60"/>
      <c r="C14" s="61"/>
      <c r="D14" s="63" t="s">
        <v>88</v>
      </c>
      <c r="E14" s="69" t="s">
        <v>93</v>
      </c>
      <c r="F14" s="70" t="s">
        <v>89</v>
      </c>
      <c r="G14" s="63"/>
      <c r="H14" s="126" t="s">
        <v>73</v>
      </c>
      <c r="I14" s="126"/>
      <c r="J14" s="126"/>
      <c r="K14" s="61"/>
      <c r="L14" s="63" t="s">
        <v>20</v>
      </c>
      <c r="M14" s="69" t="s">
        <v>74</v>
      </c>
      <c r="N14" s="71" t="s">
        <v>21</v>
      </c>
      <c r="O14" s="70"/>
      <c r="P14" s="126" t="s">
        <v>73</v>
      </c>
      <c r="Q14" s="126"/>
      <c r="R14" s="61"/>
      <c r="S14" s="62"/>
    </row>
    <row r="15" spans="2:19" x14ac:dyDescent="0.25">
      <c r="B15" s="60"/>
      <c r="C15" s="61"/>
      <c r="D15" s="63" t="s">
        <v>22</v>
      </c>
      <c r="E15" s="144" t="s">
        <v>95</v>
      </c>
      <c r="F15" s="143"/>
      <c r="G15" s="143"/>
      <c r="H15" s="143"/>
      <c r="I15" s="143"/>
      <c r="J15" s="143"/>
      <c r="K15" s="61"/>
      <c r="L15" s="63" t="s">
        <v>22</v>
      </c>
      <c r="M15" s="143" t="s">
        <v>96</v>
      </c>
      <c r="N15" s="143"/>
      <c r="O15" s="143"/>
      <c r="P15" s="143"/>
      <c r="Q15" s="143"/>
      <c r="R15" s="61"/>
      <c r="S15" s="62"/>
    </row>
    <row r="16" spans="2:19" x14ac:dyDescent="0.25">
      <c r="B16" s="60"/>
      <c r="C16" s="61"/>
      <c r="D16" s="63" t="s">
        <v>85</v>
      </c>
      <c r="E16" s="149" t="s">
        <v>94</v>
      </c>
      <c r="F16" s="126"/>
      <c r="G16" s="126"/>
      <c r="H16" s="126"/>
      <c r="I16" s="126"/>
      <c r="J16" s="126"/>
      <c r="K16" s="61"/>
      <c r="L16" s="63" t="s">
        <v>23</v>
      </c>
      <c r="M16" s="126" t="s">
        <v>97</v>
      </c>
      <c r="N16" s="126"/>
      <c r="O16" s="126"/>
      <c r="P16" s="126"/>
      <c r="Q16" s="126"/>
      <c r="R16" s="61"/>
      <c r="S16" s="62"/>
    </row>
    <row r="17" spans="2:19" x14ac:dyDescent="0.25">
      <c r="B17" s="60"/>
      <c r="C17" s="61"/>
      <c r="D17" s="63" t="s">
        <v>86</v>
      </c>
      <c r="E17" s="126" t="s">
        <v>100</v>
      </c>
      <c r="F17" s="126"/>
      <c r="G17" s="126"/>
      <c r="H17" s="126"/>
      <c r="I17" s="126"/>
      <c r="J17" s="126"/>
      <c r="K17" s="61"/>
      <c r="L17" s="63" t="s">
        <v>24</v>
      </c>
      <c r="M17" s="126" t="s">
        <v>77</v>
      </c>
      <c r="N17" s="126"/>
      <c r="O17" s="126"/>
      <c r="P17" s="126"/>
      <c r="Q17" s="126"/>
      <c r="R17" s="61"/>
      <c r="S17" s="62"/>
    </row>
    <row r="18" spans="2:19" x14ac:dyDescent="0.25">
      <c r="B18" s="60"/>
      <c r="C18" s="61"/>
      <c r="D18" s="63" t="s">
        <v>25</v>
      </c>
      <c r="E18" s="126" t="s">
        <v>99</v>
      </c>
      <c r="F18" s="126"/>
      <c r="G18" s="126"/>
      <c r="H18" s="126"/>
      <c r="I18" s="126"/>
      <c r="J18" s="126"/>
      <c r="K18" s="61"/>
      <c r="L18" s="63" t="s">
        <v>25</v>
      </c>
      <c r="M18" s="126" t="s">
        <v>79</v>
      </c>
      <c r="N18" s="126"/>
      <c r="O18" s="126"/>
      <c r="P18" s="126"/>
      <c r="Q18" s="126"/>
      <c r="R18" s="61"/>
      <c r="S18" s="62"/>
    </row>
    <row r="19" spans="2:19" x14ac:dyDescent="0.25">
      <c r="B19" s="60"/>
      <c r="C19" s="61"/>
      <c r="D19" s="61"/>
      <c r="E19" s="61"/>
      <c r="F19" s="61"/>
      <c r="G19" s="61"/>
      <c r="H19" s="61"/>
      <c r="I19" s="61"/>
      <c r="J19" s="61"/>
      <c r="K19" s="61"/>
      <c r="L19" s="61"/>
      <c r="M19" s="61"/>
      <c r="N19" s="61"/>
      <c r="O19" s="63"/>
      <c r="P19" s="63"/>
      <c r="Q19" s="63"/>
      <c r="R19" s="61"/>
      <c r="S19" s="62"/>
    </row>
    <row r="20" spans="2:19" ht="13" x14ac:dyDescent="0.3">
      <c r="B20" s="60"/>
      <c r="C20" s="61"/>
      <c r="D20" s="72" t="s">
        <v>26</v>
      </c>
      <c r="E20" s="72" t="s">
        <v>27</v>
      </c>
      <c r="F20" s="138" t="s">
        <v>28</v>
      </c>
      <c r="G20" s="139"/>
      <c r="H20" s="139"/>
      <c r="I20" s="139"/>
      <c r="J20" s="139"/>
      <c r="K20" s="139"/>
      <c r="L20" s="139"/>
      <c r="M20" s="140"/>
      <c r="N20" s="138" t="s">
        <v>29</v>
      </c>
      <c r="O20" s="139"/>
      <c r="P20" s="140"/>
      <c r="Q20" s="73" t="s">
        <v>30</v>
      </c>
      <c r="R20" s="61"/>
      <c r="S20" s="62"/>
    </row>
    <row r="21" spans="2:19" x14ac:dyDescent="0.25">
      <c r="B21" s="60"/>
      <c r="C21" s="61"/>
      <c r="D21" s="74"/>
      <c r="E21" s="75"/>
      <c r="F21" s="148"/>
      <c r="G21" s="146"/>
      <c r="H21" s="146"/>
      <c r="I21" s="146"/>
      <c r="J21" s="146"/>
      <c r="K21" s="146"/>
      <c r="L21" s="146"/>
      <c r="M21" s="147"/>
      <c r="N21" s="145"/>
      <c r="O21" s="146"/>
      <c r="P21" s="147"/>
      <c r="Q21" s="76"/>
      <c r="R21" s="61"/>
      <c r="S21" s="62"/>
    </row>
    <row r="22" spans="2:19" x14ac:dyDescent="0.25">
      <c r="B22" s="60"/>
      <c r="C22" s="61"/>
      <c r="D22" s="74"/>
      <c r="E22" s="75"/>
      <c r="F22" s="121" t="s">
        <v>103</v>
      </c>
      <c r="G22" s="122"/>
      <c r="H22" s="122"/>
      <c r="I22" s="122"/>
      <c r="J22" s="122"/>
      <c r="K22" s="122"/>
      <c r="L22" s="122"/>
      <c r="M22" s="123"/>
      <c r="N22" s="124"/>
      <c r="O22" s="122"/>
      <c r="P22" s="123"/>
      <c r="Q22" s="76"/>
      <c r="R22" s="61"/>
      <c r="S22" s="62"/>
    </row>
    <row r="23" spans="2:19" x14ac:dyDescent="0.25">
      <c r="B23" s="60"/>
      <c r="C23" s="61"/>
      <c r="D23" s="74"/>
      <c r="E23" s="75"/>
      <c r="F23" s="121" t="s">
        <v>104</v>
      </c>
      <c r="G23" s="122"/>
      <c r="H23" s="122"/>
      <c r="I23" s="122"/>
      <c r="J23" s="122"/>
      <c r="K23" s="122"/>
      <c r="L23" s="122"/>
      <c r="M23" s="123"/>
      <c r="N23" s="124"/>
      <c r="O23" s="122"/>
      <c r="P23" s="123"/>
      <c r="Q23" s="76"/>
      <c r="R23" s="61"/>
      <c r="S23" s="62"/>
    </row>
    <row r="24" spans="2:19" x14ac:dyDescent="0.25">
      <c r="B24" s="60"/>
      <c r="C24" s="61"/>
      <c r="D24" s="74"/>
      <c r="E24" s="75"/>
      <c r="F24" s="112"/>
      <c r="G24" s="78"/>
      <c r="H24" s="78"/>
      <c r="I24" s="78"/>
      <c r="J24" s="78"/>
      <c r="K24" s="78"/>
      <c r="L24" s="78"/>
      <c r="M24" s="79"/>
      <c r="N24" s="80"/>
      <c r="O24" s="81"/>
      <c r="P24" s="79"/>
      <c r="Q24" s="76"/>
      <c r="R24" s="61"/>
      <c r="S24" s="62"/>
    </row>
    <row r="25" spans="2:19" x14ac:dyDescent="0.25">
      <c r="B25" s="60"/>
      <c r="C25" s="61"/>
      <c r="D25" s="74"/>
      <c r="E25" s="75"/>
      <c r="F25" s="77"/>
      <c r="G25" s="78"/>
      <c r="H25" s="78"/>
      <c r="I25" s="78"/>
      <c r="J25" s="78"/>
      <c r="K25" s="78"/>
      <c r="L25" s="78"/>
      <c r="M25" s="79"/>
      <c r="N25" s="80"/>
      <c r="O25" s="78"/>
      <c r="P25" s="79"/>
      <c r="Q25" s="76"/>
      <c r="R25" s="61"/>
      <c r="S25" s="62"/>
    </row>
    <row r="26" spans="2:19" x14ac:dyDescent="0.25">
      <c r="B26" s="60"/>
      <c r="C26" s="61"/>
      <c r="D26" s="74"/>
      <c r="E26" s="75"/>
      <c r="F26" s="77"/>
      <c r="G26" s="78"/>
      <c r="H26" s="78"/>
      <c r="I26" s="78"/>
      <c r="J26" s="78"/>
      <c r="K26" s="78"/>
      <c r="L26" s="78"/>
      <c r="M26" s="79"/>
      <c r="N26" s="80"/>
      <c r="O26" s="78"/>
      <c r="P26" s="79"/>
      <c r="Q26" s="76"/>
      <c r="R26" s="61"/>
      <c r="S26" s="62"/>
    </row>
    <row r="27" spans="2:19" x14ac:dyDescent="0.25">
      <c r="B27" s="60"/>
      <c r="C27" s="61"/>
      <c r="D27" s="74"/>
      <c r="E27" s="75"/>
      <c r="F27" s="77"/>
      <c r="G27" s="78"/>
      <c r="H27" s="78"/>
      <c r="I27" s="78"/>
      <c r="J27" s="78"/>
      <c r="K27" s="78"/>
      <c r="L27" s="78"/>
      <c r="M27" s="79"/>
      <c r="N27" s="80"/>
      <c r="O27" s="78"/>
      <c r="P27" s="79"/>
      <c r="Q27" s="76"/>
      <c r="R27" s="61"/>
      <c r="S27" s="62"/>
    </row>
    <row r="28" spans="2:19" x14ac:dyDescent="0.25">
      <c r="B28" s="60"/>
      <c r="C28" s="61"/>
      <c r="D28" s="82"/>
      <c r="E28" s="75"/>
      <c r="F28" s="137"/>
      <c r="G28" s="122"/>
      <c r="H28" s="122"/>
      <c r="I28" s="122"/>
      <c r="J28" s="122"/>
      <c r="K28" s="122"/>
      <c r="L28" s="122"/>
      <c r="M28" s="123"/>
      <c r="N28" s="124"/>
      <c r="O28" s="122"/>
      <c r="P28" s="123"/>
      <c r="Q28" s="76"/>
      <c r="R28" s="61"/>
      <c r="S28" s="62"/>
    </row>
    <row r="29" spans="2:19" x14ac:dyDescent="0.25">
      <c r="B29" s="60"/>
      <c r="C29" s="61"/>
      <c r="D29" s="82"/>
      <c r="E29" s="75"/>
      <c r="F29" s="137"/>
      <c r="G29" s="122"/>
      <c r="H29" s="122"/>
      <c r="I29" s="122"/>
      <c r="J29" s="122"/>
      <c r="K29" s="122"/>
      <c r="L29" s="122"/>
      <c r="M29" s="123"/>
      <c r="N29" s="124"/>
      <c r="O29" s="122"/>
      <c r="P29" s="123"/>
      <c r="Q29" s="76"/>
      <c r="R29" s="61"/>
      <c r="S29" s="62"/>
    </row>
    <row r="30" spans="2:19" ht="13" x14ac:dyDescent="0.3">
      <c r="B30" s="60"/>
      <c r="C30" s="61"/>
      <c r="D30" s="74"/>
      <c r="E30" s="75"/>
      <c r="F30" s="137"/>
      <c r="G30" s="141"/>
      <c r="H30" s="141"/>
      <c r="I30" s="141"/>
      <c r="J30" s="141"/>
      <c r="K30" s="141"/>
      <c r="L30" s="141"/>
      <c r="M30" s="142"/>
      <c r="N30" s="124"/>
      <c r="O30" s="122"/>
      <c r="P30" s="123"/>
      <c r="Q30" s="76"/>
      <c r="R30" s="61"/>
      <c r="S30" s="62"/>
    </row>
    <row r="31" spans="2:19" ht="13" x14ac:dyDescent="0.3">
      <c r="B31" s="60"/>
      <c r="C31" s="61"/>
      <c r="D31" s="74"/>
      <c r="E31" s="75"/>
      <c r="F31" s="137"/>
      <c r="G31" s="141"/>
      <c r="H31" s="141"/>
      <c r="I31" s="141"/>
      <c r="J31" s="141"/>
      <c r="K31" s="141"/>
      <c r="L31" s="141"/>
      <c r="M31" s="142"/>
      <c r="N31" s="124"/>
      <c r="O31" s="122"/>
      <c r="P31" s="123"/>
      <c r="Q31" s="76"/>
      <c r="R31" s="61"/>
      <c r="S31" s="62"/>
    </row>
    <row r="32" spans="2:19" ht="13" x14ac:dyDescent="0.3">
      <c r="B32" s="60"/>
      <c r="C32" s="61"/>
      <c r="D32" s="74"/>
      <c r="E32" s="75"/>
      <c r="F32" s="125"/>
      <c r="G32" s="141"/>
      <c r="H32" s="141"/>
      <c r="I32" s="141"/>
      <c r="J32" s="141"/>
      <c r="K32" s="141"/>
      <c r="L32" s="141"/>
      <c r="M32" s="142"/>
      <c r="N32" s="124"/>
      <c r="O32" s="122"/>
      <c r="P32" s="123"/>
      <c r="Q32" s="76"/>
      <c r="R32" s="61"/>
      <c r="S32" s="62"/>
    </row>
    <row r="33" spans="2:19" ht="13" x14ac:dyDescent="0.3">
      <c r="B33" s="60"/>
      <c r="C33" s="61"/>
      <c r="D33" s="74"/>
      <c r="E33" s="75"/>
      <c r="F33" s="125"/>
      <c r="G33" s="141"/>
      <c r="H33" s="141"/>
      <c r="I33" s="141"/>
      <c r="J33" s="141"/>
      <c r="K33" s="141"/>
      <c r="L33" s="141"/>
      <c r="M33" s="142"/>
      <c r="N33" s="124"/>
      <c r="O33" s="122"/>
      <c r="P33" s="123"/>
      <c r="Q33" s="76"/>
      <c r="R33" s="61"/>
      <c r="S33" s="62"/>
    </row>
    <row r="34" spans="2:19" ht="13" x14ac:dyDescent="0.3">
      <c r="B34" s="60"/>
      <c r="C34" s="61"/>
      <c r="D34" s="74"/>
      <c r="E34" s="75"/>
      <c r="F34" s="125"/>
      <c r="G34" s="141"/>
      <c r="H34" s="141"/>
      <c r="I34" s="141"/>
      <c r="J34" s="141"/>
      <c r="K34" s="141"/>
      <c r="L34" s="141"/>
      <c r="M34" s="142"/>
      <c r="N34" s="124"/>
      <c r="O34" s="122"/>
      <c r="P34" s="123"/>
      <c r="Q34" s="76"/>
      <c r="R34" s="61"/>
      <c r="S34" s="62"/>
    </row>
    <row r="35" spans="2:19" x14ac:dyDescent="0.25">
      <c r="B35" s="60"/>
      <c r="C35" s="61"/>
      <c r="D35" s="74"/>
      <c r="E35" s="75"/>
      <c r="F35" s="125"/>
      <c r="G35" s="122"/>
      <c r="H35" s="122"/>
      <c r="I35" s="122"/>
      <c r="J35" s="122"/>
      <c r="K35" s="122"/>
      <c r="L35" s="122"/>
      <c r="M35" s="123"/>
      <c r="N35" s="124"/>
      <c r="O35" s="122"/>
      <c r="P35" s="123"/>
      <c r="Q35" s="76"/>
      <c r="R35" s="61"/>
      <c r="S35" s="62"/>
    </row>
    <row r="36" spans="2:19" x14ac:dyDescent="0.25">
      <c r="B36" s="60"/>
      <c r="C36" s="61"/>
      <c r="D36" s="74"/>
      <c r="E36" s="75"/>
      <c r="F36" s="125"/>
      <c r="G36" s="122"/>
      <c r="H36" s="122"/>
      <c r="I36" s="122"/>
      <c r="J36" s="122"/>
      <c r="K36" s="122"/>
      <c r="L36" s="122"/>
      <c r="M36" s="123"/>
      <c r="N36" s="124"/>
      <c r="O36" s="122"/>
      <c r="P36" s="123"/>
      <c r="Q36" s="76"/>
      <c r="R36" s="61"/>
      <c r="S36" s="62"/>
    </row>
    <row r="37" spans="2:19" x14ac:dyDescent="0.25">
      <c r="B37" s="60"/>
      <c r="C37" s="61"/>
      <c r="D37" s="74"/>
      <c r="E37" s="75"/>
      <c r="F37" s="121" t="s">
        <v>101</v>
      </c>
      <c r="G37" s="122"/>
      <c r="H37" s="122"/>
      <c r="I37" s="122"/>
      <c r="J37" s="122"/>
      <c r="K37" s="122"/>
      <c r="L37" s="122"/>
      <c r="M37" s="123"/>
      <c r="N37" s="124"/>
      <c r="O37" s="122"/>
      <c r="P37" s="123"/>
      <c r="Q37" s="76"/>
      <c r="R37" s="61"/>
      <c r="S37" s="62"/>
    </row>
    <row r="38" spans="2:19" x14ac:dyDescent="0.25">
      <c r="B38" s="60"/>
      <c r="C38" s="61"/>
      <c r="D38" s="74"/>
      <c r="E38" s="75"/>
      <c r="F38" s="125"/>
      <c r="G38" s="122"/>
      <c r="H38" s="122"/>
      <c r="I38" s="122"/>
      <c r="J38" s="122"/>
      <c r="K38" s="122"/>
      <c r="L38" s="122"/>
      <c r="M38" s="123"/>
      <c r="N38" s="124"/>
      <c r="O38" s="122"/>
      <c r="P38" s="123"/>
      <c r="Q38" s="76"/>
      <c r="R38" s="61"/>
      <c r="S38" s="62"/>
    </row>
    <row r="39" spans="2:19" x14ac:dyDescent="0.25">
      <c r="B39" s="60"/>
      <c r="C39" s="61"/>
      <c r="D39" s="74"/>
      <c r="E39" s="75"/>
      <c r="F39" s="125"/>
      <c r="G39" s="122"/>
      <c r="H39" s="122"/>
      <c r="I39" s="122"/>
      <c r="J39" s="122"/>
      <c r="K39" s="122"/>
      <c r="L39" s="122"/>
      <c r="M39" s="123"/>
      <c r="N39" s="124"/>
      <c r="O39" s="122"/>
      <c r="P39" s="123"/>
      <c r="Q39" s="76"/>
      <c r="R39" s="61"/>
      <c r="S39" s="62"/>
    </row>
    <row r="40" spans="2:19" x14ac:dyDescent="0.25">
      <c r="B40" s="60"/>
      <c r="C40" s="61"/>
      <c r="D40" s="74"/>
      <c r="E40" s="75"/>
      <c r="F40" s="125"/>
      <c r="G40" s="122"/>
      <c r="H40" s="122"/>
      <c r="I40" s="122"/>
      <c r="J40" s="122"/>
      <c r="K40" s="122"/>
      <c r="L40" s="122"/>
      <c r="M40" s="123"/>
      <c r="N40" s="124"/>
      <c r="O40" s="122"/>
      <c r="P40" s="123"/>
      <c r="Q40" s="76"/>
      <c r="R40" s="61"/>
      <c r="S40" s="62"/>
    </row>
    <row r="41" spans="2:19" ht="13" x14ac:dyDescent="0.3">
      <c r="B41" s="60"/>
      <c r="C41" s="61"/>
      <c r="D41" s="83"/>
      <c r="E41" s="84"/>
      <c r="F41" s="150"/>
      <c r="G41" s="151"/>
      <c r="H41" s="151"/>
      <c r="I41" s="151"/>
      <c r="J41" s="151"/>
      <c r="K41" s="151"/>
      <c r="L41" s="151"/>
      <c r="M41" s="152"/>
      <c r="N41" s="131"/>
      <c r="O41" s="132"/>
      <c r="P41" s="133"/>
      <c r="Q41" s="85"/>
      <c r="R41" s="61"/>
      <c r="S41" s="62"/>
    </row>
    <row r="42" spans="2:19" ht="12.75" customHeight="1" x14ac:dyDescent="0.3">
      <c r="B42" s="60"/>
      <c r="C42" s="61"/>
      <c r="D42" s="61"/>
      <c r="E42" s="61"/>
      <c r="F42" s="61"/>
      <c r="G42" s="61"/>
      <c r="H42" s="61"/>
      <c r="I42" s="61"/>
      <c r="J42" s="61"/>
      <c r="K42" s="61"/>
      <c r="L42" s="63"/>
      <c r="M42" s="63"/>
      <c r="N42" s="86"/>
      <c r="O42" s="87"/>
      <c r="P42" s="88"/>
      <c r="Q42" s="89">
        <v>12802.6</v>
      </c>
      <c r="R42" s="61"/>
      <c r="S42" s="62"/>
    </row>
    <row r="43" spans="2:19" x14ac:dyDescent="0.25">
      <c r="B43" s="60"/>
      <c r="C43" s="61"/>
      <c r="D43" s="61"/>
      <c r="E43" s="61"/>
      <c r="F43" s="61"/>
      <c r="G43" s="61"/>
      <c r="H43" s="61"/>
      <c r="I43" s="61"/>
      <c r="J43" s="61"/>
      <c r="K43" s="61"/>
      <c r="L43" s="63"/>
      <c r="M43" s="63"/>
      <c r="N43" s="90"/>
      <c r="O43" s="61"/>
      <c r="P43" s="91"/>
      <c r="Q43" s="92"/>
      <c r="R43" s="61"/>
      <c r="S43" s="62"/>
    </row>
    <row r="44" spans="2:19" x14ac:dyDescent="0.25">
      <c r="B44" s="60"/>
      <c r="C44" s="61"/>
      <c r="D44" s="63"/>
      <c r="E44" s="93"/>
      <c r="F44" s="71" t="s">
        <v>31</v>
      </c>
      <c r="G44" s="61"/>
      <c r="H44" s="61"/>
      <c r="I44" s="61"/>
      <c r="J44" s="61"/>
      <c r="K44" s="61"/>
      <c r="L44" s="63"/>
      <c r="M44" s="63"/>
      <c r="N44" s="94"/>
      <c r="O44" s="94"/>
      <c r="P44" s="91"/>
      <c r="Q44" s="92"/>
      <c r="R44" s="61"/>
      <c r="S44" s="62"/>
    </row>
    <row r="45" spans="2:19" ht="13" x14ac:dyDescent="0.3">
      <c r="B45" s="60"/>
      <c r="C45" s="61"/>
      <c r="D45" s="63"/>
      <c r="E45" s="93" t="s">
        <v>34</v>
      </c>
      <c r="F45" s="71" t="s">
        <v>87</v>
      </c>
      <c r="G45" s="63"/>
      <c r="H45" s="63"/>
      <c r="I45" s="63"/>
      <c r="J45" s="63"/>
      <c r="K45" s="64"/>
      <c r="L45" s="63"/>
      <c r="M45" s="95"/>
      <c r="N45" s="96"/>
      <c r="O45" s="96"/>
      <c r="P45" s="97"/>
      <c r="Q45" s="92"/>
      <c r="R45" s="61"/>
      <c r="S45" s="62"/>
    </row>
    <row r="46" spans="2:19" x14ac:dyDescent="0.25">
      <c r="B46" s="60"/>
      <c r="C46" s="61"/>
      <c r="D46" s="63"/>
      <c r="E46" s="93"/>
      <c r="F46" s="71" t="s">
        <v>32</v>
      </c>
      <c r="G46" s="63"/>
      <c r="H46" s="61"/>
      <c r="I46" s="61"/>
      <c r="J46" s="61"/>
      <c r="K46" s="61"/>
      <c r="L46" s="63"/>
      <c r="M46" s="63"/>
      <c r="N46" s="96"/>
      <c r="O46" s="96"/>
      <c r="P46" s="97"/>
      <c r="Q46" s="92"/>
      <c r="R46" s="61"/>
      <c r="S46" s="62"/>
    </row>
    <row r="47" spans="2:19" ht="13" x14ac:dyDescent="0.3">
      <c r="B47" s="60"/>
      <c r="C47" s="61"/>
      <c r="D47" s="63"/>
      <c r="E47" s="93">
        <v>3</v>
      </c>
      <c r="F47" s="71" t="s">
        <v>33</v>
      </c>
      <c r="G47" s="63"/>
      <c r="H47" s="61"/>
      <c r="I47" s="63"/>
      <c r="J47" s="61"/>
      <c r="K47" s="98"/>
      <c r="L47" s="63"/>
      <c r="M47" s="99" t="s">
        <v>34</v>
      </c>
      <c r="N47" s="100"/>
      <c r="O47" s="61"/>
      <c r="P47" s="88"/>
      <c r="Q47" s="92" t="s">
        <v>17</v>
      </c>
      <c r="R47" s="61"/>
      <c r="S47" s="62"/>
    </row>
    <row r="48" spans="2:19" ht="20.149999999999999" customHeight="1" x14ac:dyDescent="0.3">
      <c r="B48" s="60"/>
      <c r="C48" s="61"/>
      <c r="D48" s="63"/>
      <c r="E48" s="63" t="s">
        <v>69</v>
      </c>
      <c r="F48" s="63"/>
      <c r="G48" s="101"/>
      <c r="H48" s="101"/>
      <c r="I48" s="101"/>
      <c r="J48" s="143" t="s">
        <v>90</v>
      </c>
      <c r="K48" s="143"/>
      <c r="L48" s="143"/>
      <c r="M48" s="99" t="s">
        <v>34</v>
      </c>
      <c r="N48" s="63"/>
      <c r="O48" s="61"/>
      <c r="P48" s="65"/>
      <c r="Q48" s="102"/>
      <c r="R48" s="61"/>
      <c r="S48" s="62"/>
    </row>
    <row r="49" spans="2:19" x14ac:dyDescent="0.25">
      <c r="B49" s="60"/>
      <c r="C49" s="61"/>
      <c r="D49" s="61"/>
      <c r="E49" s="63" t="s">
        <v>70</v>
      </c>
      <c r="F49" s="61"/>
      <c r="G49" s="101"/>
      <c r="H49" s="101"/>
      <c r="I49" s="101"/>
      <c r="J49" s="126" t="s">
        <v>78</v>
      </c>
      <c r="K49" s="126"/>
      <c r="L49" s="126"/>
      <c r="M49" s="61"/>
      <c r="N49" s="61"/>
      <c r="O49" s="129" t="s">
        <v>98</v>
      </c>
      <c r="P49" s="130"/>
      <c r="Q49" s="103"/>
      <c r="R49" s="61"/>
      <c r="S49" s="62"/>
    </row>
    <row r="50" spans="2:19" x14ac:dyDescent="0.25">
      <c r="B50" s="60"/>
      <c r="C50" s="61"/>
      <c r="D50" s="61"/>
      <c r="E50" s="61"/>
      <c r="F50" s="61"/>
      <c r="G50" s="61"/>
      <c r="H50" s="61"/>
      <c r="I50" s="61"/>
      <c r="J50" s="61"/>
      <c r="K50" s="61"/>
      <c r="L50" s="61"/>
      <c r="M50" s="61"/>
      <c r="N50" s="61"/>
      <c r="O50" s="63"/>
      <c r="P50" s="63"/>
      <c r="Q50" s="63"/>
      <c r="R50" s="61"/>
      <c r="S50" s="62"/>
    </row>
    <row r="51" spans="2:19" x14ac:dyDescent="0.25">
      <c r="B51" s="60"/>
      <c r="C51" s="61"/>
      <c r="D51" s="61"/>
      <c r="E51" s="61"/>
      <c r="F51" s="61"/>
      <c r="G51" s="61"/>
      <c r="H51" s="61"/>
      <c r="I51" s="61"/>
      <c r="J51" s="61"/>
      <c r="K51" s="61"/>
      <c r="L51" s="61"/>
      <c r="M51" s="61"/>
      <c r="N51" s="61"/>
      <c r="O51" s="63"/>
      <c r="P51" s="63"/>
      <c r="Q51" s="63"/>
      <c r="R51" s="61"/>
      <c r="S51" s="62"/>
    </row>
    <row r="52" spans="2:19" ht="5.15" customHeight="1" thickBot="1" x14ac:dyDescent="0.3">
      <c r="B52" s="60"/>
      <c r="C52" s="61"/>
      <c r="D52" s="61"/>
      <c r="E52" s="61"/>
      <c r="F52" s="61"/>
      <c r="G52" s="61"/>
      <c r="H52" s="61"/>
      <c r="I52" s="61"/>
      <c r="J52" s="61"/>
      <c r="K52" s="61"/>
      <c r="L52" s="61"/>
      <c r="M52" s="61"/>
      <c r="N52" s="61"/>
      <c r="O52" s="63"/>
      <c r="P52" s="63"/>
      <c r="Q52" s="63"/>
      <c r="R52" s="61"/>
      <c r="S52" s="62"/>
    </row>
    <row r="53" spans="2:19" ht="3" customHeight="1" thickTop="1" x14ac:dyDescent="0.25">
      <c r="B53" s="60"/>
      <c r="C53" s="61"/>
      <c r="D53" s="67"/>
      <c r="E53" s="67"/>
      <c r="F53" s="67"/>
      <c r="G53" s="67"/>
      <c r="H53" s="67"/>
      <c r="I53" s="67"/>
      <c r="J53" s="67"/>
      <c r="K53" s="67"/>
      <c r="L53" s="67"/>
      <c r="M53" s="67"/>
      <c r="N53" s="67"/>
      <c r="O53" s="67"/>
      <c r="P53" s="67"/>
      <c r="Q53" s="67"/>
      <c r="R53" s="61"/>
      <c r="S53" s="62"/>
    </row>
    <row r="54" spans="2:19" x14ac:dyDescent="0.25">
      <c r="B54" s="60"/>
      <c r="C54" s="61"/>
      <c r="D54" s="61"/>
      <c r="E54" s="61"/>
      <c r="F54" s="61"/>
      <c r="G54" s="61"/>
      <c r="H54" s="61"/>
      <c r="I54" s="61"/>
      <c r="J54" s="61"/>
      <c r="K54" s="61"/>
      <c r="L54" s="61"/>
      <c r="M54" s="61"/>
      <c r="N54" s="61"/>
      <c r="O54" s="63"/>
      <c r="P54" s="63"/>
      <c r="Q54" s="63"/>
      <c r="R54" s="61"/>
      <c r="S54" s="62"/>
    </row>
    <row r="55" spans="2:19" x14ac:dyDescent="0.25">
      <c r="B55" s="60"/>
      <c r="C55" s="61"/>
      <c r="D55" s="61"/>
      <c r="E55" s="61"/>
      <c r="F55" s="61"/>
      <c r="G55" s="61"/>
      <c r="H55" s="61"/>
      <c r="I55" s="61"/>
      <c r="J55" s="61"/>
      <c r="K55" s="61"/>
      <c r="L55" s="61"/>
      <c r="M55" s="61"/>
      <c r="N55" s="61"/>
      <c r="O55" s="63"/>
      <c r="P55" s="63"/>
      <c r="Q55" s="63"/>
      <c r="R55" s="61"/>
      <c r="S55" s="62"/>
    </row>
    <row r="56" spans="2:19" x14ac:dyDescent="0.25">
      <c r="B56" s="60"/>
      <c r="C56" s="61"/>
      <c r="D56" s="61"/>
      <c r="E56" s="128" t="s">
        <v>102</v>
      </c>
      <c r="F56" s="120"/>
      <c r="G56" s="120"/>
      <c r="H56" s="120"/>
      <c r="I56" s="120"/>
      <c r="J56" s="120"/>
      <c r="K56" s="61"/>
      <c r="L56" s="91"/>
      <c r="M56" s="104" t="s">
        <v>35</v>
      </c>
      <c r="N56" s="63"/>
      <c r="O56" s="134">
        <v>43936</v>
      </c>
      <c r="P56" s="134"/>
      <c r="Q56" s="105"/>
      <c r="R56" s="61"/>
      <c r="S56" s="62"/>
    </row>
    <row r="57" spans="2:19" x14ac:dyDescent="0.25">
      <c r="B57" s="60"/>
      <c r="C57" s="61"/>
      <c r="D57" s="61"/>
      <c r="E57" s="120"/>
      <c r="F57" s="120"/>
      <c r="G57" s="120"/>
      <c r="H57" s="120"/>
      <c r="I57" s="120"/>
      <c r="J57" s="120"/>
      <c r="K57" s="61"/>
      <c r="L57" s="61"/>
      <c r="M57" s="61" t="s">
        <v>36</v>
      </c>
      <c r="N57" s="106"/>
      <c r="O57" s="135" t="s">
        <v>105</v>
      </c>
      <c r="P57" s="126"/>
      <c r="Q57" s="105"/>
      <c r="R57" s="61"/>
      <c r="S57" s="62"/>
    </row>
    <row r="58" spans="2:19" x14ac:dyDescent="0.25">
      <c r="B58" s="60"/>
      <c r="C58" s="61"/>
      <c r="D58" s="61"/>
      <c r="E58" s="120"/>
      <c r="F58" s="120"/>
      <c r="G58" s="120"/>
      <c r="H58" s="120"/>
      <c r="I58" s="120"/>
      <c r="J58" s="120"/>
      <c r="K58" s="61"/>
      <c r="L58" s="61"/>
      <c r="M58" s="61" t="s">
        <v>37</v>
      </c>
      <c r="N58" s="107"/>
      <c r="O58" s="136"/>
      <c r="P58" s="127"/>
      <c r="Q58" s="105"/>
      <c r="R58" s="61"/>
      <c r="S58" s="62"/>
    </row>
    <row r="59" spans="2:19" x14ac:dyDescent="0.25">
      <c r="B59" s="60"/>
      <c r="C59" s="61"/>
      <c r="D59" s="61"/>
      <c r="E59" s="120"/>
      <c r="F59" s="120"/>
      <c r="G59" s="120"/>
      <c r="H59" s="120"/>
      <c r="I59" s="120"/>
      <c r="J59" s="120"/>
      <c r="K59" s="61"/>
      <c r="L59" s="61"/>
      <c r="M59" s="61" t="s">
        <v>38</v>
      </c>
      <c r="N59" s="107"/>
      <c r="O59" s="127"/>
      <c r="P59" s="127"/>
      <c r="Q59" s="105"/>
      <c r="R59" s="61"/>
      <c r="S59" s="62"/>
    </row>
    <row r="60" spans="2:19" x14ac:dyDescent="0.25">
      <c r="B60" s="60"/>
      <c r="C60" s="61"/>
      <c r="D60" s="61"/>
      <c r="E60" s="61"/>
      <c r="F60" s="61"/>
      <c r="G60" s="61"/>
      <c r="H60" s="61"/>
      <c r="I60" s="61"/>
      <c r="J60" s="61"/>
      <c r="K60" s="61"/>
      <c r="L60" s="61"/>
      <c r="M60" s="61"/>
      <c r="N60" s="61"/>
      <c r="O60" s="63"/>
      <c r="P60" s="63"/>
      <c r="Q60" s="63"/>
      <c r="R60" s="61"/>
      <c r="S60" s="62"/>
    </row>
    <row r="61" spans="2:19" ht="15.75" customHeight="1" x14ac:dyDescent="0.25">
      <c r="B61" s="60"/>
      <c r="C61" s="61"/>
      <c r="D61" s="61"/>
      <c r="E61" s="61"/>
      <c r="F61" s="61"/>
      <c r="G61" s="61"/>
      <c r="H61" s="61"/>
      <c r="I61" s="61"/>
      <c r="J61" s="61"/>
      <c r="K61" s="61"/>
      <c r="L61" s="61"/>
      <c r="M61" s="61"/>
      <c r="N61" s="61"/>
      <c r="O61" s="63"/>
      <c r="P61" s="63"/>
      <c r="Q61" s="63"/>
      <c r="R61" s="61"/>
      <c r="S61" s="62"/>
    </row>
    <row r="62" spans="2:19" ht="12.75" customHeight="1" x14ac:dyDescent="0.25">
      <c r="B62" s="60"/>
      <c r="C62" s="61"/>
      <c r="D62" s="63"/>
      <c r="E62" s="120"/>
      <c r="F62" s="120"/>
      <c r="G62" s="120"/>
      <c r="H62" s="120"/>
      <c r="I62" s="120"/>
      <c r="J62" s="120"/>
      <c r="K62" s="120"/>
      <c r="L62" s="120"/>
      <c r="M62" s="120"/>
      <c r="N62" s="120"/>
      <c r="O62" s="120"/>
      <c r="P62" s="120"/>
      <c r="Q62" s="61"/>
      <c r="R62" s="61"/>
      <c r="S62" s="62"/>
    </row>
    <row r="63" spans="2:19" x14ac:dyDescent="0.25">
      <c r="B63" s="60"/>
      <c r="C63" s="61"/>
      <c r="D63" s="61"/>
      <c r="E63" s="120"/>
      <c r="F63" s="120"/>
      <c r="G63" s="120"/>
      <c r="H63" s="120"/>
      <c r="I63" s="120"/>
      <c r="J63" s="120"/>
      <c r="K63" s="120"/>
      <c r="L63" s="120"/>
      <c r="M63" s="120"/>
      <c r="N63" s="120"/>
      <c r="O63" s="120"/>
      <c r="P63" s="120"/>
      <c r="Q63" s="61"/>
      <c r="R63" s="61"/>
      <c r="S63" s="62"/>
    </row>
    <row r="64" spans="2:19" x14ac:dyDescent="0.25">
      <c r="B64" s="60"/>
      <c r="C64" s="61"/>
      <c r="D64" s="61"/>
      <c r="E64" s="120"/>
      <c r="F64" s="120"/>
      <c r="G64" s="120"/>
      <c r="H64" s="120"/>
      <c r="I64" s="120"/>
      <c r="J64" s="120"/>
      <c r="K64" s="120"/>
      <c r="L64" s="120"/>
      <c r="M64" s="120"/>
      <c r="N64" s="120"/>
      <c r="O64" s="120"/>
      <c r="P64" s="120"/>
      <c r="Q64" s="61"/>
      <c r="R64" s="61"/>
      <c r="S64" s="62"/>
    </row>
    <row r="65" spans="2:19" x14ac:dyDescent="0.25">
      <c r="B65" s="60"/>
      <c r="C65" s="61"/>
      <c r="D65" s="61"/>
      <c r="E65" s="61"/>
      <c r="F65" s="61"/>
      <c r="G65" s="61"/>
      <c r="H65" s="61"/>
      <c r="I65" s="61"/>
      <c r="J65" s="61"/>
      <c r="K65" s="61"/>
      <c r="L65" s="61"/>
      <c r="M65" s="61"/>
      <c r="N65" s="61"/>
      <c r="O65" s="61"/>
      <c r="P65" s="61"/>
      <c r="Q65" s="61"/>
      <c r="R65" s="61"/>
      <c r="S65" s="62"/>
    </row>
    <row r="66" spans="2:19" ht="0.9" customHeight="1" thickBot="1" x14ac:dyDescent="0.3">
      <c r="B66" s="108"/>
      <c r="C66" s="109"/>
      <c r="D66" s="109"/>
      <c r="E66" s="109"/>
      <c r="F66" s="109"/>
      <c r="G66" s="109"/>
      <c r="H66" s="109"/>
      <c r="I66" s="109"/>
      <c r="J66" s="109"/>
      <c r="K66" s="109"/>
      <c r="L66" s="109"/>
      <c r="M66" s="109"/>
      <c r="N66" s="109"/>
      <c r="O66" s="109"/>
      <c r="P66" s="109"/>
      <c r="Q66" s="109"/>
      <c r="R66" s="109"/>
      <c r="S66" s="110"/>
    </row>
    <row r="67" spans="2:19" ht="13" thickTop="1" x14ac:dyDescent="0.25"/>
    <row r="142" spans="15:15" x14ac:dyDescent="0.25">
      <c r="O142" s="111" t="s">
        <v>82</v>
      </c>
    </row>
  </sheetData>
  <scenarios current="0">
    <scenario name="sample1" locked="1" count="28" user="Marek Seman" comment="Vytvořil: Microsoft Corporation dne 21.1.1997">
      <inputCells r="E12" val="Galax Copy"/>
      <inputCells r="E13" val="Dlouhá 178"/>
      <inputCells r="E14" val="736 01"/>
      <inputCells r="E15" val="Staňková"/>
      <inputCells r="E16" val="06994/82250"/>
      <inputCells r="E17" val="298550"/>
      <inputCells r="E18" val="005-298550"/>
      <inputCells r="H14" val="Havířov-Podlesí"/>
      <inputCells r="M12" val="NÁZEV FIRMY"/>
      <inputCells r="M13" val="Adresa firmy"/>
      <inputCells r="M14" val="PSČ"/>
      <inputCells r="M15" val="Jméno osoby"/>
      <inputCells r="M16" val="telefonní číslo"/>
      <inputCells r="M17" val="IČO"/>
      <inputCells r="M18" val="DIČ"/>
      <inputCells r="P14" val="Město"/>
      <inputCells r="D21" val="3"/>
      <inputCells r="E21" val="bal."/>
      <inputCells r="F21" val="bloky psací"/>
      <inputCells r="D22" val="2"/>
      <inputCells r="E22" val="krab."/>
      <inputCells r="F22" val="tužky"/>
      <inputCells r="D23" val="1"/>
      <inputCells r="E23" val="ks"/>
      <inputCells r="F23" val="dopisní štítky"/>
      <inputCells r="N21" val="325"/>
      <inputCells r="N22" val="350"/>
      <inputCells r="N23" val="189"/>
    </scenario>
    <scenario name="sample2" locked="1" count="32" user="Marek Seman" comment="Vytvořil: Microsoft Corporation dne 21.1.1997">
      <inputCells r="D28" val=""/>
      <inputCells r="E28" val=""/>
      <inputCells r="F28" val=""/>
      <inputCells r="D29" val=""/>
      <inputCells r="E29" val=""/>
      <inputCells r="F29" val=""/>
      <inputCells r="D30" val=""/>
      <inputCells r="E30" val=""/>
      <inputCells r="F30" val=""/>
      <inputCells r="D31" val=""/>
      <inputCells r="E31" val=""/>
      <inputCells r="F31" val=""/>
      <inputCells r="D32" val=""/>
      <inputCells r="E32" val=""/>
      <inputCells r="F32" val=""/>
      <inputCells r="D33" val=""/>
      <inputCells r="E33" val=""/>
      <inputCells r="F33" val=""/>
      <inputCells r="D34" val=""/>
      <inputCells r="E34" val=""/>
      <inputCells r="F34" val=""/>
      <inputCells r="D35" val=""/>
      <inputCells r="E35" val=""/>
      <inputCells r="F35" val=""/>
      <inputCells r="N28" val=""/>
      <inputCells r="N29" val=""/>
      <inputCells r="N30" val=""/>
      <inputCells r="N31" val=""/>
      <inputCells r="N32" val=""/>
      <inputCells r="N33" val=""/>
      <inputCells r="N34" val=""/>
      <inputCells r="N35" val=""/>
    </scenario>
    <scenario name="sample3" locked="1" count="32" user="Marek Seman" comment="Vytvořil: Microsoft Corporation dne 21.1.1997">
      <inputCells r="D36" val=""/>
      <inputCells r="E36" val=""/>
      <inputCells r="F36" val=""/>
      <inputCells r="D37" val=""/>
      <inputCells r="E37" val=""/>
      <inputCells r="F37" val=""/>
      <inputCells r="D38" val=""/>
      <inputCells r="E38" val=""/>
      <inputCells r="F38" val=""/>
      <inputCells r="D39" val=""/>
      <inputCells r="E39" val=""/>
      <inputCells r="F39" val=""/>
      <inputCells r="D40" val=""/>
      <inputCells r="E40" val=""/>
      <inputCells r="F40" val=""/>
      <inputCells r="D41" val=""/>
      <inputCells r="E41" val=""/>
      <inputCells r="F41" val=""/>
      <inputCells r="N36" val=""/>
      <inputCells r="N37" val=""/>
      <inputCells r="N38" val=""/>
      <inputCells r="N39" val=""/>
      <inputCells r="N40" val=""/>
      <inputCells r="N41" val=""/>
      <inputCells r="E44" val=""/>
      <inputCells r="E45" val=""/>
      <inputCells r="E46" val="" numFmtId="168"/>
      <inputCells r="E47" val="3" numFmtId="168"/>
      <inputCells r="I46" val=""/>
      <inputCells r="J47" val=""/>
      <inputCells r="G48" val=""/>
      <inputCells r="I49" val=""/>
    </scenario>
    <scenario name="sample4" locked="1" count="10" user="Marek Seman" comment="Vytvořil: Microsoft Corporation dne 21.1.1997">
      <inputCells r="G48" val=""/>
      <inputCells r="I49" val=""/>
      <inputCells r="O49" val=""/>
      <inputCells r="E56" val=""/>
      <inputCells r="E57" val=""/>
      <inputCells r="E58" val=""/>
      <inputCells r="E59" val=""/>
      <inputCells r="O57" val=""/>
      <inputCells r="O58" val=""/>
      <inputCells r="O59" val=""/>
    </scenario>
  </scenarios>
  <mergeCells count="59">
    <mergeCell ref="J48:L48"/>
    <mergeCell ref="F40:M40"/>
    <mergeCell ref="F41:M41"/>
    <mergeCell ref="F29:M29"/>
    <mergeCell ref="F30:M30"/>
    <mergeCell ref="F31:M31"/>
    <mergeCell ref="M15:Q15"/>
    <mergeCell ref="M17:Q17"/>
    <mergeCell ref="F38:M38"/>
    <mergeCell ref="F32:M32"/>
    <mergeCell ref="F33:M33"/>
    <mergeCell ref="E15:J15"/>
    <mergeCell ref="N38:P38"/>
    <mergeCell ref="M16:Q16"/>
    <mergeCell ref="N32:P32"/>
    <mergeCell ref="M18:Q18"/>
    <mergeCell ref="N37:P37"/>
    <mergeCell ref="N30:P30"/>
    <mergeCell ref="N21:P21"/>
    <mergeCell ref="F21:M21"/>
    <mergeCell ref="E16:J16"/>
    <mergeCell ref="E17:J17"/>
    <mergeCell ref="E12:J12"/>
    <mergeCell ref="E13:J13"/>
    <mergeCell ref="H14:J14"/>
    <mergeCell ref="M12:Q12"/>
    <mergeCell ref="M13:Q13"/>
    <mergeCell ref="P14:Q14"/>
    <mergeCell ref="E18:J18"/>
    <mergeCell ref="N40:P40"/>
    <mergeCell ref="N33:P33"/>
    <mergeCell ref="N34:P34"/>
    <mergeCell ref="N35:P35"/>
    <mergeCell ref="F20:M20"/>
    <mergeCell ref="N20:P20"/>
    <mergeCell ref="F39:M39"/>
    <mergeCell ref="N31:P31"/>
    <mergeCell ref="F37:M37"/>
    <mergeCell ref="F34:M34"/>
    <mergeCell ref="F35:M35"/>
    <mergeCell ref="N39:P39"/>
    <mergeCell ref="N28:P28"/>
    <mergeCell ref="N29:P29"/>
    <mergeCell ref="E62:P64"/>
    <mergeCell ref="F22:M22"/>
    <mergeCell ref="F23:M23"/>
    <mergeCell ref="N22:P22"/>
    <mergeCell ref="N23:P23"/>
    <mergeCell ref="F36:M36"/>
    <mergeCell ref="J49:L49"/>
    <mergeCell ref="O59:P59"/>
    <mergeCell ref="E56:J59"/>
    <mergeCell ref="O49:P49"/>
    <mergeCell ref="N41:P41"/>
    <mergeCell ref="O56:P56"/>
    <mergeCell ref="O57:P57"/>
    <mergeCell ref="O58:P58"/>
    <mergeCell ref="F28:M28"/>
    <mergeCell ref="N36:P36"/>
  </mergeCells>
  <phoneticPr fontId="14" type="noConversion"/>
  <dataValidations xWindow="503" yWindow="428" count="12">
    <dataValidation type="whole" errorStyle="warning" allowBlank="1" showErrorMessage="1" errorTitle="Množství" error="Do této buňky musíte zadat číslo." promptTitle="Množství" sqref="D21:D41" xr:uid="{00000000-0002-0000-0200-000000000000}">
      <formula1>0</formula1>
      <formula2>1000000000</formula2>
    </dataValidation>
    <dataValidation errorStyle="warning" allowBlank="1" showInputMessage="1" errorTitle="Informace o dodavateli" promptTitle="Informace o dodavateli" prompt="Tuto oblast použijte pro zadání informací o dodavateli. Nezapomeňte zadat PSČ, které je důležité pro možnost třídění databáze." sqref="E12:J12" xr:uid="{00000000-0002-0000-0200-000001000000}"/>
    <dataValidation type="textLength" errorStyle="warning" allowBlank="1" showErrorMessage="1" errorTitle="Jednotky" error="Do této buňky musíte zadat měrnou jednotku, která je pro položku správná." promptTitle="Jednotky" sqref="E21:E41" xr:uid="{00000000-0002-0000-0200-000002000000}">
      <formula1>0</formula1>
      <formula2>256</formula2>
    </dataValidation>
    <dataValidation type="date" errorStyle="warning" allowBlank="1" showInputMessage="1" showErrorMessage="1" errorTitle="Datum dodání" error="Pokud znáte datum dodání, měli byste jej do této buňky zadat." promptTitle="Datum dodání" prompt="Toto pole použijte pro zadání data, do kterého má být dodávka provedena. Pole můžete nechat nevyplněné (například v případě, že se jedná o objednávku služeb)." sqref="O49" xr:uid="{00000000-0002-0000-0200-000003000000}">
      <formula1>33970</formula1>
      <formula2>65016</formula2>
    </dataValidation>
    <dataValidation errorStyle="warning" allowBlank="1" showInputMessage="1" errorTitle="Schválení" promptTitle="Schválení" prompt="Toto pole můžete použít k zadání údajů nezbytných pro schválení (razítka, podpisy apod.)." sqref="E56:J59" xr:uid="{00000000-0002-0000-0200-000004000000}"/>
    <dataValidation errorStyle="warning" allowBlank="1" showInputMessage="1" errorTitle="Poznámky / připomínky" promptTitle="Poznámky / připomínky" prompt="Toto pole použijte pro jakékoli údaje, které nejsou nikde na objednávce uvedeny. Napište je buď přímo na tento list, nebo je sem dodatečně dopište po provedení tisku." sqref="E62:P64" xr:uid="{00000000-0002-0000-0200-000005000000}"/>
    <dataValidation errorStyle="warning" allowBlank="1" showInputMessage="1" errorTitle="Číslo účtu nebo kreditní karty" promptTitle="Číslo účtu nebo kreditní karty" prompt="Sem zadejte číslo účtu nebo kreditní karty odběratele." sqref="J48:L48" xr:uid="{00000000-0002-0000-0200-000006000000}"/>
    <dataValidation errorStyle="warning" allowBlank="1" showInputMessage="1" errorTitle="Odběratel" promptTitle="Odběratel" prompt="Tuto oblast použijte pro zadání adresy odběratele. Jestliže necháte oblast prázdnou, budou informace automaticky vloženy, pokud je na listu Úprava objednávky zaškrtnuto políčko &quot;Údaje o firmě jsou zároveň údaji o odběrateli.&quot;" sqref="M12:Q12" xr:uid="{00000000-0002-0000-0200-000007000000}"/>
    <dataValidation type="decimal" errorStyle="warning" allowBlank="1" showErrorMessage="1" errorTitle="Cena za jednotku" error="Do této buňky musíte zadat číslo." promptTitle="Cena za jednotku" sqref="N21:N41" xr:uid="{00000000-0002-0000-0200-000008000000}">
      <formula1>0</formula1>
      <formula2>1000000000</formula2>
    </dataValidation>
    <dataValidation type="textLength" allowBlank="1" showErrorMessage="1" errorTitle="Vybarvené buňky" error="Vybarvené buňky obsahují vzorce, které aplikace Microsoft Excel automaticky přepočítává. Nevkládejte do nich žádné údaje." promptTitle="Vybarvené buňky" sqref="Q21:Q41" xr:uid="{00000000-0002-0000-0200-000009000000}">
      <formula1>0</formula1>
      <formula2>0</formula2>
    </dataValidation>
    <dataValidation type="textLength" errorStyle="warning" allowBlank="1" showErrorMessage="1" errorTitle="Celkem" error="Vybarvené buňky obsahují vzorce, které aplikace Microsoft Excel automaticky přepočítává. Nevkládejte do nich žádné údaje." promptTitle="Celkem" sqref="Q42" xr:uid="{00000000-0002-0000-0200-00000A000000}">
      <formula1>0</formula1>
      <formula2>0</formula2>
    </dataValidation>
    <dataValidation errorStyle="warning" allowBlank="1" showInputMessage="1" errorTitle="Číslo kreditní karty" sqref="G48:I48" xr:uid="{00000000-0002-0000-0200-00000B000000}"/>
  </dataValidations>
  <printOptions horizontalCentered="1"/>
  <pageMargins left="0.78740157499999996" right="0.78740157499999996" top="0.984251969" bottom="0.984251969" header="0.5" footer="0.5"/>
  <pageSetup paperSize="9" scale="90"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84" r:id="rId4" name="CUST">
              <controlPr defaultSize="0" print="0" autoFill="0" autoLine="0" autoPict="0" macro="[0]!Customize">
                <anchor moveWithCells="1" sizeWithCells="1">
                  <from>
                    <xdr:col>13</xdr:col>
                    <xdr:colOff>215900</xdr:colOff>
                    <xdr:row>4</xdr:row>
                    <xdr:rowOff>107950</xdr:rowOff>
                  </from>
                  <to>
                    <xdr:col>16</xdr:col>
                    <xdr:colOff>311150</xdr:colOff>
                    <xdr:row>6</xdr:row>
                    <xdr:rowOff>31750</xdr:rowOff>
                  </to>
                </anchor>
              </controlPr>
            </control>
          </mc:Choice>
        </mc:AlternateContent>
        <mc:AlternateContent xmlns:mc="http://schemas.openxmlformats.org/markup-compatibility/2006">
          <mc:Choice Requires="x14">
            <control shapeId="2105" r:id="rId5" name="CCL">
              <controlPr defaultSize="0" print="0" autoFill="0" autoLine="0" autoPict="0">
                <anchor moveWithCells="1">
                  <from>
                    <xdr:col>8</xdr:col>
                    <xdr:colOff>158750</xdr:colOff>
                    <xdr:row>44</xdr:row>
                    <xdr:rowOff>139700</xdr:rowOff>
                  </from>
                  <to>
                    <xdr:col>12</xdr:col>
                    <xdr:colOff>177800</xdr:colOff>
                    <xdr:row>46</xdr:row>
                    <xdr:rowOff>6350</xdr:rowOff>
                  </to>
                </anchor>
              </controlPr>
            </control>
          </mc:Choice>
        </mc:AlternateContent>
        <mc:AlternateContent xmlns:mc="http://schemas.openxmlformats.org/markup-compatibility/2006">
          <mc:Choice Requires="x14">
            <control shapeId="2106" r:id="rId6" name="pd1">
              <controlPr defaultSize="0" autoFill="0" autoLine="0" autoPict="0" macro="[0]!PO_Payments">
                <anchor moveWithCells="1">
                  <from>
                    <xdr:col>4</xdr:col>
                    <xdr:colOff>196850</xdr:colOff>
                    <xdr:row>42</xdr:row>
                    <xdr:rowOff>114300</xdr:rowOff>
                  </from>
                  <to>
                    <xdr:col>4</xdr:col>
                    <xdr:colOff>501650</xdr:colOff>
                    <xdr:row>44</xdr:row>
                    <xdr:rowOff>6350</xdr:rowOff>
                  </to>
                </anchor>
              </controlPr>
            </control>
          </mc:Choice>
        </mc:AlternateContent>
        <mc:AlternateContent xmlns:mc="http://schemas.openxmlformats.org/markup-compatibility/2006">
          <mc:Choice Requires="x14">
            <control shapeId="2108" r:id="rId7" name="pd3">
              <controlPr defaultSize="0" autoFill="0" autoLine="0" autoPict="0" macro="[0]!PO_Payments">
                <anchor moveWithCells="1">
                  <from>
                    <xdr:col>4</xdr:col>
                    <xdr:colOff>196850</xdr:colOff>
                    <xdr:row>43</xdr:row>
                    <xdr:rowOff>120650</xdr:rowOff>
                  </from>
                  <to>
                    <xdr:col>4</xdr:col>
                    <xdr:colOff>501650</xdr:colOff>
                    <xdr:row>45</xdr:row>
                    <xdr:rowOff>25400</xdr:rowOff>
                  </to>
                </anchor>
              </controlPr>
            </control>
          </mc:Choice>
        </mc:AlternateContent>
        <mc:AlternateContent xmlns:mc="http://schemas.openxmlformats.org/markup-compatibility/2006">
          <mc:Choice Requires="x14">
            <control shapeId="2109" r:id="rId8" name="pd4">
              <controlPr defaultSize="0" autoFill="0" autoLine="0" autoPict="0" macro="[0]!PO_Payments">
                <anchor moveWithCells="1">
                  <from>
                    <xdr:col>4</xdr:col>
                    <xdr:colOff>196850</xdr:colOff>
                    <xdr:row>45</xdr:row>
                    <xdr:rowOff>120650</xdr:rowOff>
                  </from>
                  <to>
                    <xdr:col>4</xdr:col>
                    <xdr:colOff>501650</xdr:colOff>
                    <xdr:row>47</xdr:row>
                    <xdr:rowOff>25400</xdr:rowOff>
                  </to>
                </anchor>
              </controlPr>
            </control>
          </mc:Choice>
        </mc:AlternateContent>
        <mc:AlternateContent xmlns:mc="http://schemas.openxmlformats.org/markup-compatibility/2006">
          <mc:Choice Requires="x14">
            <control shapeId="2110" r:id="rId9" name="pd2">
              <controlPr defaultSize="0" autoFill="0" autoLine="0" autoPict="0" macro="[0]!PO_Payments">
                <anchor moveWithCells="1">
                  <from>
                    <xdr:col>4</xdr:col>
                    <xdr:colOff>196850</xdr:colOff>
                    <xdr:row>44</xdr:row>
                    <xdr:rowOff>120650</xdr:rowOff>
                  </from>
                  <to>
                    <xdr:col>4</xdr:col>
                    <xdr:colOff>501650</xdr:colOff>
                    <xdr:row>46</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ist3"/>
  <dimension ref="A1:L9"/>
  <sheetViews>
    <sheetView topLeftCell="XFD1048576" zoomScale="95" workbookViewId="0"/>
  </sheetViews>
  <sheetFormatPr defaultColWidth="0" defaultRowHeight="12.5" zeroHeight="1" x14ac:dyDescent="0.25"/>
  <sheetData>
    <row r="1" spans="1:12" hidden="1" x14ac:dyDescent="0.25">
      <c r="A1" t="s">
        <v>39</v>
      </c>
    </row>
    <row r="2" spans="1:12" hidden="1" x14ac:dyDescent="0.25">
      <c r="A2" t="s">
        <v>40</v>
      </c>
      <c r="B2" t="s">
        <v>41</v>
      </c>
    </row>
    <row r="3" spans="1:12" hidden="1" x14ac:dyDescent="0.25">
      <c r="A3" t="s">
        <v>42</v>
      </c>
      <c r="B3" t="s">
        <v>71</v>
      </c>
    </row>
    <row r="4" spans="1:12" hidden="1" x14ac:dyDescent="0.25">
      <c r="A4" t="s">
        <v>43</v>
      </c>
    </row>
    <row r="5" spans="1:12" hidden="1" x14ac:dyDescent="0.25">
      <c r="A5" t="s">
        <v>44</v>
      </c>
      <c r="B5">
        <v>1</v>
      </c>
    </row>
    <row r="6" spans="1:12" hidden="1" x14ac:dyDescent="0.25">
      <c r="A6">
        <v>1</v>
      </c>
      <c r="B6" t="s">
        <v>45</v>
      </c>
      <c r="C6" t="s">
        <v>46</v>
      </c>
      <c r="D6" t="s">
        <v>47</v>
      </c>
      <c r="E6">
        <v>11</v>
      </c>
      <c r="G6">
        <v>0</v>
      </c>
    </row>
    <row r="7" spans="1:12" hidden="1" x14ac:dyDescent="0.25">
      <c r="A7" t="s">
        <v>48</v>
      </c>
      <c r="B7" t="s">
        <v>49</v>
      </c>
      <c r="C7" t="s">
        <v>50</v>
      </c>
      <c r="D7" t="s">
        <v>51</v>
      </c>
      <c r="E7" t="s">
        <v>52</v>
      </c>
      <c r="F7" t="s">
        <v>53</v>
      </c>
      <c r="G7" t="s">
        <v>54</v>
      </c>
      <c r="H7" t="s">
        <v>55</v>
      </c>
      <c r="I7" t="s">
        <v>56</v>
      </c>
      <c r="J7" t="s">
        <v>57</v>
      </c>
      <c r="K7" t="s">
        <v>58</v>
      </c>
      <c r="L7" t="s">
        <v>59</v>
      </c>
    </row>
    <row r="8" spans="1:12" hidden="1" x14ac:dyDescent="0.25">
      <c r="A8" t="s">
        <v>60</v>
      </c>
      <c r="B8" s="51">
        <f>Objednávka!$Q$4</f>
        <v>34</v>
      </c>
      <c r="C8" s="52">
        <f>Objednávka!$O$56</f>
        <v>43936</v>
      </c>
      <c r="D8" s="53" t="str">
        <f>Objednávka!$E$12</f>
        <v>AEC Novák  s. r. o.</v>
      </c>
      <c r="E8" s="53" t="str">
        <f>Objednávka!$E$13</f>
        <v>Beethovenova 28/216</v>
      </c>
      <c r="F8" s="53" t="str">
        <f>Objednávka!$H$14</f>
        <v>Ústí nad Labem</v>
      </c>
      <c r="G8" s="53" t="str">
        <f>Objednávka!$E$14</f>
        <v>40001</v>
      </c>
      <c r="H8" s="53" t="str">
        <f>Objednávka!$E$15</f>
        <v>pan Ondřej Pilný, pilny@aecusti.cz</v>
      </c>
      <c r="I8" s="53" t="str">
        <f>Objednávka!$E$16</f>
        <v>475 309 077, 725 519 151</v>
      </c>
      <c r="J8" s="53" t="str">
        <f>Objednávka!$E$17</f>
        <v>49097652</v>
      </c>
      <c r="K8" s="53" t="str">
        <f>Objednávka!$E$18</f>
        <v>CZ 49097652</v>
      </c>
      <c r="L8">
        <f>Objednávka!$Q$42</f>
        <v>12802.6</v>
      </c>
    </row>
    <row r="9" spans="1:12" hidden="1" x14ac:dyDescent="0.25">
      <c r="A9" t="s">
        <v>43</v>
      </c>
    </row>
  </sheetData>
  <phoneticPr fontId="14" type="noConversion"/>
  <pageMargins left="0.78740157499999996" right="0.78740157499999996" top="0.984251969" bottom="0.984251969" header="0.5" footer="0.5"/>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vt:i4>
      </vt:variant>
      <vt:variant>
        <vt:lpstr>Pojmenované oblasti</vt:lpstr>
      </vt:variant>
      <vt:variant>
        <vt:i4>195</vt:i4>
      </vt:variant>
    </vt:vector>
  </HeadingPairs>
  <TitlesOfParts>
    <vt:vector size="197" baseType="lpstr">
      <vt:lpstr>Úprava objednávky</vt:lpstr>
      <vt:lpstr>Objednávka</vt:lpstr>
      <vt:lpstr>_SHR1</vt:lpstr>
      <vt:lpstr>_SHR2</vt:lpstr>
      <vt:lpstr>ATW!boxes</vt:lpstr>
      <vt:lpstr>boxes</vt:lpstr>
      <vt:lpstr>CC</vt:lpstr>
      <vt:lpstr>CCT</vt:lpstr>
      <vt:lpstr>CDB</vt:lpstr>
      <vt:lpstr>CS</vt:lpstr>
      <vt:lpstr>data1</vt:lpstr>
      <vt:lpstr>data10</vt:lpstr>
      <vt:lpstr>data100</vt:lpstr>
      <vt:lpstr>data101</vt:lpstr>
      <vt:lpstr>data102</vt:lpstr>
      <vt:lpstr>data103</vt:lpstr>
      <vt:lpstr>data104</vt:lpstr>
      <vt:lpstr>data105</vt:lpstr>
      <vt:lpstr>data106</vt:lpstr>
      <vt:lpstr>data107</vt:lpstr>
      <vt:lpstr>data108</vt:lpstr>
      <vt:lpstr>data12</vt:lpstr>
      <vt:lpstr>data13</vt:lpstr>
      <vt:lpstr>data14</vt:lpstr>
      <vt:lpstr>data15</vt:lpstr>
      <vt:lpstr>data16</vt:lpstr>
      <vt:lpstr>data17</vt:lpstr>
      <vt:lpstr>data18</vt:lpstr>
      <vt:lpstr>data19</vt:lpstr>
      <vt:lpstr>data2</vt:lpstr>
      <vt:lpstr>data20</vt:lpstr>
      <vt:lpstr>data21</vt:lpstr>
      <vt:lpstr>data22</vt:lpstr>
      <vt:lpstr>data23</vt:lpstr>
      <vt:lpstr>data24</vt:lpstr>
      <vt:lpstr>data25</vt:lpstr>
      <vt:lpstr>data26</vt:lpstr>
      <vt:lpstr>data27</vt:lpstr>
      <vt:lpstr>data28</vt:lpstr>
      <vt:lpstr>data29</vt:lpstr>
      <vt:lpstr>data3</vt:lpstr>
      <vt:lpstr>data30</vt:lpstr>
      <vt:lpstr>data31</vt:lpstr>
      <vt:lpstr>data32</vt:lpstr>
      <vt:lpstr>data33</vt:lpstr>
      <vt:lpstr>data34</vt:lpstr>
      <vt:lpstr>data35</vt:lpstr>
      <vt:lpstr>data36</vt:lpstr>
      <vt:lpstr>data37</vt:lpstr>
      <vt:lpstr>data38</vt:lpstr>
      <vt:lpstr>data39</vt:lpstr>
      <vt:lpstr>data4</vt:lpstr>
      <vt:lpstr>data40</vt:lpstr>
      <vt:lpstr>data41</vt:lpstr>
      <vt:lpstr>data42</vt:lpstr>
      <vt:lpstr>data43</vt:lpstr>
      <vt:lpstr>data44</vt:lpstr>
      <vt:lpstr>data45</vt:lpstr>
      <vt:lpstr>data46</vt:lpstr>
      <vt:lpstr>data47</vt:lpstr>
      <vt:lpstr>data48</vt:lpstr>
      <vt:lpstr>data49</vt:lpstr>
      <vt:lpstr>data50</vt:lpstr>
      <vt:lpstr>data51</vt:lpstr>
      <vt:lpstr>data52</vt:lpstr>
      <vt:lpstr>data53</vt:lpstr>
      <vt:lpstr>data54</vt:lpstr>
      <vt:lpstr>data55</vt:lpstr>
      <vt:lpstr>data56</vt:lpstr>
      <vt:lpstr>data57</vt:lpstr>
      <vt:lpstr>data58</vt:lpstr>
      <vt:lpstr>data59</vt:lpstr>
      <vt:lpstr>data6</vt:lpstr>
      <vt:lpstr>data60</vt:lpstr>
      <vt:lpstr>data61</vt:lpstr>
      <vt:lpstr>data62</vt:lpstr>
      <vt:lpstr>data63</vt:lpstr>
      <vt:lpstr>data64</vt:lpstr>
      <vt:lpstr>data65</vt:lpstr>
      <vt:lpstr>data66</vt:lpstr>
      <vt:lpstr>data67</vt:lpstr>
      <vt:lpstr>data68</vt:lpstr>
      <vt:lpstr>data69</vt:lpstr>
      <vt:lpstr>data7</vt:lpstr>
      <vt:lpstr>data70</vt:lpstr>
      <vt:lpstr>data71</vt:lpstr>
      <vt:lpstr>data72</vt:lpstr>
      <vt:lpstr>data73</vt:lpstr>
      <vt:lpstr>data74</vt:lpstr>
      <vt:lpstr>data75</vt:lpstr>
      <vt:lpstr>data76</vt:lpstr>
      <vt:lpstr>data77</vt:lpstr>
      <vt:lpstr>data78</vt:lpstr>
      <vt:lpstr>data79</vt:lpstr>
      <vt:lpstr>data8</vt:lpstr>
      <vt:lpstr>data80</vt:lpstr>
      <vt:lpstr>data81</vt:lpstr>
      <vt:lpstr>data82</vt:lpstr>
      <vt:lpstr>data83</vt:lpstr>
      <vt:lpstr>data84</vt:lpstr>
      <vt:lpstr>data86</vt:lpstr>
      <vt:lpstr>data88</vt:lpstr>
      <vt:lpstr>data89</vt:lpstr>
      <vt:lpstr>data9</vt:lpstr>
      <vt:lpstr>data90</vt:lpstr>
      <vt:lpstr>data91</vt:lpstr>
      <vt:lpstr>data92</vt:lpstr>
      <vt:lpstr>data93</vt:lpstr>
      <vt:lpstr>data94</vt:lpstr>
      <vt:lpstr>data95</vt:lpstr>
      <vt:lpstr>data96</vt:lpstr>
      <vt:lpstr>data97</vt:lpstr>
      <vt:lpstr>data98</vt:lpstr>
      <vt:lpstr>data99</vt:lpstr>
      <vt:lpstr>dflt1</vt:lpstr>
      <vt:lpstr>dflt2</vt:lpstr>
      <vt:lpstr>dflt3</vt:lpstr>
      <vt:lpstr>dflt4</vt:lpstr>
      <vt:lpstr>display_area_1</vt:lpstr>
      <vt:lpstr>display_area_2</vt:lpstr>
      <vt:lpstr>LOC</vt:lpstr>
      <vt:lpstr>LTR</vt:lpstr>
      <vt:lpstr>NO</vt:lpstr>
      <vt:lpstr>NS</vt:lpstr>
      <vt:lpstr>Objednávka!Oblast_tisku</vt:lpstr>
      <vt:lpstr>'Úprava objednávky'!Oblast_tisku</vt:lpstr>
      <vt:lpstr>qzqzqz10</vt:lpstr>
      <vt:lpstr>qzqzqz11</vt:lpstr>
      <vt:lpstr>qzqzqz12</vt:lpstr>
      <vt:lpstr>qzqzqz13</vt:lpstr>
      <vt:lpstr>qzqzqz14</vt:lpstr>
      <vt:lpstr>qzqzqz15</vt:lpstr>
      <vt:lpstr>qzqzqz16</vt:lpstr>
      <vt:lpstr>qzqzqz17</vt:lpstr>
      <vt:lpstr>qzqzqz18</vt:lpstr>
      <vt:lpstr>qzqzqz19</vt:lpstr>
      <vt:lpstr>qzqzqz20</vt:lpstr>
      <vt:lpstr>qzqzqz21</vt:lpstr>
      <vt:lpstr>qzqzqz22</vt:lpstr>
      <vt:lpstr>qzqzqz23</vt:lpstr>
      <vt:lpstr>qzqzqz24</vt:lpstr>
      <vt:lpstr>qzqzqz25</vt:lpstr>
      <vt:lpstr>qzqzqz26</vt:lpstr>
      <vt:lpstr>qzqzqz27</vt:lpstr>
      <vt:lpstr>qzqzqz28</vt:lpstr>
      <vt:lpstr>qzqzqz29</vt:lpstr>
      <vt:lpstr>qzqzqz30</vt:lpstr>
      <vt:lpstr>qzqzqz31</vt:lpstr>
      <vt:lpstr>qzqzqz32</vt:lpstr>
      <vt:lpstr>qzqzqz33</vt:lpstr>
      <vt:lpstr>qzqzqz34</vt:lpstr>
      <vt:lpstr>qzqzqz35</vt:lpstr>
      <vt:lpstr>qzqzqz36</vt:lpstr>
      <vt:lpstr>qzqzqz37</vt:lpstr>
      <vt:lpstr>qzqzqz38</vt:lpstr>
      <vt:lpstr>qzqzqz39</vt:lpstr>
      <vt:lpstr>qzqzqz40</vt:lpstr>
      <vt:lpstr>qzqzqz41</vt:lpstr>
      <vt:lpstr>qzqzqz42</vt:lpstr>
      <vt:lpstr>qzqzqz43</vt:lpstr>
      <vt:lpstr>qzqzqz44</vt:lpstr>
      <vt:lpstr>qzqzqz45</vt:lpstr>
      <vt:lpstr>qzqzqz46</vt:lpstr>
      <vt:lpstr>qzqzqz47</vt:lpstr>
      <vt:lpstr>qzqzqz48</vt:lpstr>
      <vt:lpstr>qzqzqz49</vt:lpstr>
      <vt:lpstr>qzqzqz50</vt:lpstr>
      <vt:lpstr>qzqzqz51</vt:lpstr>
      <vt:lpstr>qzqzqz52</vt:lpstr>
      <vt:lpstr>qzqzqz53</vt:lpstr>
      <vt:lpstr>qzqzqz54</vt:lpstr>
      <vt:lpstr>qzqzqz55</vt:lpstr>
      <vt:lpstr>qzqzqz56</vt:lpstr>
      <vt:lpstr>qzqzqz57</vt:lpstr>
      <vt:lpstr>qzqzqz58</vt:lpstr>
      <vt:lpstr>qzqzqz59</vt:lpstr>
      <vt:lpstr>qzqzqz6</vt:lpstr>
      <vt:lpstr>qzqzqz60</vt:lpstr>
      <vt:lpstr>qzqzqz61</vt:lpstr>
      <vt:lpstr>qzqzqz62</vt:lpstr>
      <vt:lpstr>qzqzqz63</vt:lpstr>
      <vt:lpstr>qzqzqz64</vt:lpstr>
      <vt:lpstr>qzqzqz65</vt:lpstr>
      <vt:lpstr>qzqzqz7</vt:lpstr>
      <vt:lpstr>qzqzqz8</vt:lpstr>
      <vt:lpstr>qzqzqz9</vt:lpstr>
      <vt:lpstr>SS</vt:lpstr>
      <vt:lpstr>TOT</vt:lpstr>
      <vt:lpstr>vital1</vt:lpstr>
      <vt:lpstr>vital2</vt:lpstr>
      <vt:lpstr>vital3</vt:lpstr>
      <vt:lpstr>vital4</vt:lpstr>
      <vt:lpstr>vital5</vt:lpstr>
      <vt:lpstr>vital6</vt:lpstr>
      <vt:lpstr>vital7</vt:lpstr>
      <vt:lpstr>vital8</vt:lpstr>
      <vt:lpstr>vital9</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Objednávka</dc:title>
  <dc:creator>Village Software</dc:creator>
  <cp:lastModifiedBy>tesarova</cp:lastModifiedBy>
  <cp:lastPrinted>2020-04-15T06:28:27Z</cp:lastPrinted>
  <dcterms:created xsi:type="dcterms:W3CDTF">1995-05-29T16:12:01Z</dcterms:created>
  <dcterms:modified xsi:type="dcterms:W3CDTF">2020-04-15T06:29:31Z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pany Name" linkTarget="vital1">
    <vt:lpwstr>Domov pro seniory Severní Terasa, PO</vt:lpwstr>
  </property>
  <property fmtid="{D5CDD505-2E9C-101B-9397-08002B2CF9AE}" pid="3" name="Company Address" linkTarget="vital2">
    <vt:lpwstr>V Klidu 3133/12</vt:lpwstr>
  </property>
  <property fmtid="{D5CDD505-2E9C-101B-9397-08002B2CF9AE}" pid="4" name="Company City" linkTarget="vital4">
    <vt:lpwstr>Ústí nad Labem</vt:lpwstr>
  </property>
  <property fmtid="{D5CDD505-2E9C-101B-9397-08002B2CF9AE}" pid="5" name="Company State" linkTarget="vital5">
    <vt:lpwstr>400 11</vt:lpwstr>
  </property>
  <property fmtid="{D5CDD505-2E9C-101B-9397-08002B2CF9AE}" pid="6" name="Company Zip" linkTarget="vital6">
    <vt:lpwstr>44555326</vt:lpwstr>
  </property>
  <property fmtid="{D5CDD505-2E9C-101B-9397-08002B2CF9AE}" pid="7" name="Company Phone" linkTarget="vital8">
    <vt:lpwstr>472775577</vt:lpwstr>
  </property>
  <property fmtid="{D5CDD505-2E9C-101B-9397-08002B2CF9AE}" pid="8" name="Company Fax" linkTarget="vital9">
    <vt:lpwstr>472776089</vt:lpwstr>
  </property>
  <property fmtid="{D5CDD505-2E9C-101B-9397-08002B2CF9AE}" pid="9" name="Purchase Order Number" linkTarget="NO">
    <vt:r8>34</vt:r8>
  </property>
  <property fmtid="{D5CDD505-2E9C-101B-9397-08002B2CF9AE}" pid="10" name="Purchase Order Date">
    <vt:lpwstr>data101</vt:lpwstr>
  </property>
  <property fmtid="{D5CDD505-2E9C-101B-9397-08002B2CF9AE}" pid="11" name="Vendor Name" linkTarget="data1">
    <vt:lpwstr>AEC Novák  s. r. o.</vt:lpwstr>
  </property>
  <property fmtid="{D5CDD505-2E9C-101B-9397-08002B2CF9AE}" pid="12" name="Total Purchase Order" linkTarget="TOT">
    <vt:lpwstr/>
  </property>
</Properties>
</file>